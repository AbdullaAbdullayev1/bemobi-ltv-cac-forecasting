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_data" sheetId="1" state="visible" r:id="rId3"/>
    <sheet name="Monthly by Country" sheetId="2" state="visible" r:id="rId4"/>
    <sheet name="MoM Change" sheetId="3" state="visible" r:id="rId5"/>
    <sheet name="YoY Change" sheetId="4" state="visible" r:id="rId6"/>
    <sheet name="YTD Comparison" sheetId="5" state="visible" r:id="rId7"/>
    <sheet name="Forecast Oct-Dec 2024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<sst xmlns="http://schemas.openxmlformats.org/spreadsheetml/2006/main" count="212" uniqueCount="41">
  <si>
    <t xml:space="preserve">month</t>
  </si>
  <si>
    <t xml:space="preserve">country</t>
  </si>
  <si>
    <t xml:space="preserve">revenue</t>
  </si>
  <si>
    <t xml:space="preserve">Brazil</t>
  </si>
  <si>
    <t xml:space="preserve">Mexico</t>
  </si>
  <si>
    <t xml:space="preserve">Indonesia</t>
  </si>
  <si>
    <t xml:space="preserve">India</t>
  </si>
  <si>
    <t xml:space="preserve">Nigeria</t>
  </si>
  <si>
    <t xml:space="preserve">Philippines</t>
  </si>
  <si>
    <t xml:space="preserve">Monthly Revenue by Country</t>
  </si>
  <si>
    <t xml:space="preserve">Pulled from revenue_data via SUMIFS (live formulas)</t>
  </si>
  <si>
    <t xml:space="preserve">Month</t>
  </si>
  <si>
    <t xml:space="preserve">TOTAL</t>
  </si>
  <si>
    <t xml:space="preserve">Month-over-Month % Change</t>
  </si>
  <si>
    <t xml:space="preserve">Formula: current month / prior month - 1, per country and total</t>
  </si>
  <si>
    <t xml:space="preserve">Year-over-Year % Change</t>
  </si>
  <si>
    <t xml:space="preserve">Formula: same month this year / same month last year - 1 (available Jan-2024 onward)</t>
  </si>
  <si>
    <t xml:space="preserve">Avg YoY, last 3mo (Jul-Sep 24)</t>
  </si>
  <si>
    <t xml:space="preserve">YTD Comparison (Jan-Sep)</t>
  </si>
  <si>
    <t xml:space="preserve">Cumulative Jan-Sep 2023 vs Jan-Sep 2024, per country</t>
  </si>
  <si>
    <t xml:space="preserve">Metric</t>
  </si>
  <si>
    <t xml:space="preserve">YTD 2023 (Jan-Sep)</t>
  </si>
  <si>
    <t xml:space="preserve">YTD 2024 (Jan-Sep)</t>
  </si>
  <si>
    <t xml:space="preserve">YTD Growth %</t>
  </si>
  <si>
    <t xml:space="preserve">Anomalies / inflection points flagged</t>
  </si>
  <si>
    <t xml:space="preserve">Nigeria: -25.6% MoM in Jun-2024, then +46.3% MoM in Jul-2024 — a sharp dip-and-recover not seen in any other country/month. See 'MoM Change' tab.</t>
  </si>
  <si>
    <t xml:space="preserve">Seasonal pattern (not an anomaly): every Nov-Dec shows a broad-based spike (~10-20% MoM) across all countries, followed by a Jan pullback — consistent both years, treated as expected seasonality in the forecast.</t>
  </si>
  <si>
    <t xml:space="preserve">Forecast: Oct-Dec 2024</t>
  </si>
  <si>
    <t xml:space="preserve">Method: seasonal-naive x recent growth. Forecast = same month last year x (1 + avg YoY growth of last 3 observed months).</t>
  </si>
  <si>
    <t xml:space="preserve">Growth rate applied (avg YoY, Jul-Sep 2024) — from 'YoY Change' tab</t>
  </si>
  <si>
    <t xml:space="preserve">Growth rate</t>
  </si>
  <si>
    <t xml:space="preserve">Forecast</t>
  </si>
  <si>
    <t xml:space="preserve">Oct-2024</t>
  </si>
  <si>
    <t xml:space="preserve">Nov-2024</t>
  </si>
  <si>
    <t xml:space="preserve">Dec-2024</t>
  </si>
  <si>
    <t xml:space="preserve">Q4 2024 Total (forecast)</t>
  </si>
  <si>
    <t xml:space="preserve">Full-Year 2024 (actual + forecast) vs FY2023</t>
  </si>
  <si>
    <t xml:space="preserve">FY2023 Actual</t>
  </si>
  <si>
    <t xml:space="preserve">FY2024 (actual Jan-Sep + forecast Q4)</t>
  </si>
  <si>
    <t xml:space="preserve">Implied FY growth %</t>
  </si>
  <si>
    <t xml:space="preserve">Yellow cells = key assumption (growth rate driving the forecast). Change these to test sensitivity.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</si>
</sst>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mmm\-yyyy"/>
    <numFmt numFmtId="168" formatCode="\$#,##0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44927</v>
      </c>
      <c r="B2" s="1" t="s">
        <v>3</v>
      </c>
      <c r="C2" s="4" t="n">
        <v>185463.84</v>
      </c>
    </row>
    <row r="3" customFormat="false" ht="15" hidden="false" customHeight="true" outlineLevel="0" collapsed="false">
      <c r="A3" s="3" t="n">
        <v>44958</v>
      </c>
      <c r="B3" s="1" t="s">
        <v>3</v>
      </c>
      <c r="C3" s="4" t="n">
        <v>170074.93</v>
      </c>
    </row>
    <row r="4" customFormat="false" ht="15" hidden="false" customHeight="true" outlineLevel="0" collapsed="false">
      <c r="A4" s="3" t="n">
        <v>44986</v>
      </c>
      <c r="B4" s="1" t="s">
        <v>3</v>
      </c>
      <c r="C4" s="4" t="n">
        <v>180683.26</v>
      </c>
    </row>
    <row r="5" customFormat="false" ht="15" hidden="false" customHeight="true" outlineLevel="0" collapsed="false">
      <c r="A5" s="3" t="n">
        <v>45017</v>
      </c>
      <c r="B5" s="1" t="s">
        <v>3</v>
      </c>
      <c r="C5" s="4" t="n">
        <v>190527.73</v>
      </c>
    </row>
    <row r="6" customFormat="false" ht="15" hidden="false" customHeight="true" outlineLevel="0" collapsed="false">
      <c r="A6" s="3" t="n">
        <v>45047</v>
      </c>
      <c r="B6" s="1" t="s">
        <v>3</v>
      </c>
      <c r="C6" s="4" t="n">
        <v>192892.6</v>
      </c>
    </row>
    <row r="7" customFormat="false" ht="15" hidden="false" customHeight="true" outlineLevel="0" collapsed="false">
      <c r="A7" s="3" t="n">
        <v>45078</v>
      </c>
      <c r="B7" s="1" t="s">
        <v>3</v>
      </c>
      <c r="C7" s="4" t="n">
        <v>205714.33</v>
      </c>
    </row>
    <row r="8" customFormat="false" ht="15" hidden="false" customHeight="true" outlineLevel="0" collapsed="false">
      <c r="A8" s="3" t="n">
        <v>45108</v>
      </c>
      <c r="B8" s="1" t="s">
        <v>3</v>
      </c>
      <c r="C8" s="4" t="n">
        <v>200181.48</v>
      </c>
    </row>
    <row r="9" customFormat="false" ht="15" hidden="false" customHeight="true" outlineLevel="0" collapsed="false">
      <c r="A9" s="3" t="n">
        <v>45139</v>
      </c>
      <c r="B9" s="1" t="s">
        <v>3</v>
      </c>
      <c r="C9" s="4" t="n">
        <v>203934</v>
      </c>
    </row>
    <row r="10" customFormat="false" ht="15" hidden="false" customHeight="true" outlineLevel="0" collapsed="false">
      <c r="A10" s="3" t="n">
        <v>45170</v>
      </c>
      <c r="B10" s="1" t="s">
        <v>3</v>
      </c>
      <c r="C10" s="4" t="n">
        <v>200082.62</v>
      </c>
    </row>
    <row r="11" customFormat="false" ht="15" hidden="false" customHeight="true" outlineLevel="0" collapsed="false">
      <c r="A11" s="3" t="n">
        <v>45200</v>
      </c>
      <c r="B11" s="1" t="s">
        <v>3</v>
      </c>
      <c r="C11" s="4" t="n">
        <v>212570.29</v>
      </c>
    </row>
    <row r="12" customFormat="false" ht="15" hidden="false" customHeight="true" outlineLevel="0" collapsed="false">
      <c r="A12" s="3" t="n">
        <v>45231</v>
      </c>
      <c r="B12" s="1" t="s">
        <v>3</v>
      </c>
      <c r="C12" s="4" t="n">
        <v>232716.41</v>
      </c>
    </row>
    <row r="13" customFormat="false" ht="15" hidden="false" customHeight="true" outlineLevel="0" collapsed="false">
      <c r="A13" s="3" t="n">
        <v>45261</v>
      </c>
      <c r="B13" s="1" t="s">
        <v>3</v>
      </c>
      <c r="C13" s="4" t="n">
        <v>243928.6</v>
      </c>
    </row>
    <row r="14" customFormat="false" ht="15" hidden="false" customHeight="true" outlineLevel="0" collapsed="false">
      <c r="A14" s="3" t="n">
        <v>45292</v>
      </c>
      <c r="B14" s="1" t="s">
        <v>3</v>
      </c>
      <c r="C14" s="4" t="n">
        <v>216835.79</v>
      </c>
    </row>
    <row r="15" customFormat="false" ht="15" hidden="false" customHeight="true" outlineLevel="0" collapsed="false">
      <c r="A15" s="3" t="n">
        <v>45323</v>
      </c>
      <c r="B15" s="1" t="s">
        <v>3</v>
      </c>
      <c r="C15" s="4" t="n">
        <v>218957.66</v>
      </c>
    </row>
    <row r="16" customFormat="false" ht="15" hidden="false" customHeight="true" outlineLevel="0" collapsed="false">
      <c r="A16" s="3" t="n">
        <v>45352</v>
      </c>
      <c r="B16" s="1" t="s">
        <v>3</v>
      </c>
      <c r="C16" s="4" t="n">
        <v>230314.05</v>
      </c>
    </row>
    <row r="17" customFormat="false" ht="15" hidden="false" customHeight="true" outlineLevel="0" collapsed="false">
      <c r="A17" s="3" t="n">
        <v>45383</v>
      </c>
      <c r="B17" s="1" t="s">
        <v>3</v>
      </c>
      <c r="C17" s="4" t="n">
        <v>243344.7</v>
      </c>
    </row>
    <row r="18" customFormat="false" ht="15" hidden="false" customHeight="true" outlineLevel="0" collapsed="false">
      <c r="A18" s="3" t="n">
        <v>45413</v>
      </c>
      <c r="B18" s="1" t="s">
        <v>3</v>
      </c>
      <c r="C18" s="4" t="n">
        <v>232250.34</v>
      </c>
    </row>
    <row r="19" customFormat="false" ht="15" hidden="false" customHeight="true" outlineLevel="0" collapsed="false">
      <c r="A19" s="3" t="n">
        <v>45444</v>
      </c>
      <c r="B19" s="1" t="s">
        <v>3</v>
      </c>
      <c r="C19" s="4" t="n">
        <v>244048.62</v>
      </c>
    </row>
    <row r="20" customFormat="false" ht="15" hidden="false" customHeight="true" outlineLevel="0" collapsed="false">
      <c r="A20" s="3" t="n">
        <v>45474</v>
      </c>
      <c r="B20" s="1" t="s">
        <v>3</v>
      </c>
      <c r="C20" s="4" t="n">
        <v>249081.42</v>
      </c>
    </row>
    <row r="21" customFormat="false" ht="15" hidden="false" customHeight="true" outlineLevel="0" collapsed="false">
      <c r="A21" s="3" t="n">
        <v>45505</v>
      </c>
      <c r="B21" s="1" t="s">
        <v>3</v>
      </c>
      <c r="C21" s="4" t="n">
        <v>251464.14</v>
      </c>
    </row>
    <row r="22" customFormat="false" ht="15" hidden="false" customHeight="true" outlineLevel="0" collapsed="false">
      <c r="A22" s="3" t="n">
        <v>45536</v>
      </c>
      <c r="B22" s="1" t="s">
        <v>3</v>
      </c>
      <c r="C22" s="4" t="n">
        <v>265479.87</v>
      </c>
    </row>
    <row r="23" customFormat="false" ht="15" hidden="false" customHeight="true" outlineLevel="0" collapsed="false">
      <c r="A23" s="3" t="n">
        <v>44927</v>
      </c>
      <c r="B23" s="1" t="s">
        <v>4</v>
      </c>
      <c r="C23" s="4" t="n">
        <v>136933.28</v>
      </c>
    </row>
    <row r="24" customFormat="false" ht="15" hidden="false" customHeight="true" outlineLevel="0" collapsed="false">
      <c r="A24" s="3" t="n">
        <v>44958</v>
      </c>
      <c r="B24" s="1" t="s">
        <v>4</v>
      </c>
      <c r="C24" s="4" t="n">
        <v>122861.01</v>
      </c>
    </row>
    <row r="25" customFormat="false" ht="15" hidden="false" customHeight="true" outlineLevel="0" collapsed="false">
      <c r="A25" s="3" t="n">
        <v>44986</v>
      </c>
      <c r="B25" s="1" t="s">
        <v>4</v>
      </c>
      <c r="C25" s="4" t="n">
        <v>133858.65</v>
      </c>
    </row>
    <row r="26" customFormat="false" ht="15" hidden="false" customHeight="true" outlineLevel="0" collapsed="false">
      <c r="A26" s="3" t="n">
        <v>45017</v>
      </c>
      <c r="B26" s="1" t="s">
        <v>4</v>
      </c>
      <c r="C26" s="4" t="n">
        <v>137120.67</v>
      </c>
    </row>
    <row r="27" customFormat="false" ht="15" hidden="false" customHeight="true" outlineLevel="0" collapsed="false">
      <c r="A27" s="3" t="n">
        <v>45047</v>
      </c>
      <c r="B27" s="1" t="s">
        <v>4</v>
      </c>
      <c r="C27" s="4" t="n">
        <v>142373.95</v>
      </c>
    </row>
    <row r="28" customFormat="false" ht="15" hidden="false" customHeight="true" outlineLevel="0" collapsed="false">
      <c r="A28" s="3" t="n">
        <v>45078</v>
      </c>
      <c r="B28" s="1" t="s">
        <v>4</v>
      </c>
      <c r="C28" s="4" t="n">
        <v>143851.13</v>
      </c>
    </row>
    <row r="29" customFormat="false" ht="15" hidden="false" customHeight="true" outlineLevel="0" collapsed="false">
      <c r="A29" s="3" t="n">
        <v>45108</v>
      </c>
      <c r="B29" s="1" t="s">
        <v>4</v>
      </c>
      <c r="C29" s="4" t="n">
        <v>143466.97</v>
      </c>
    </row>
    <row r="30" customFormat="false" ht="15" hidden="false" customHeight="true" outlineLevel="0" collapsed="false">
      <c r="A30" s="3" t="n">
        <v>45139</v>
      </c>
      <c r="B30" s="1" t="s">
        <v>4</v>
      </c>
      <c r="C30" s="4" t="n">
        <v>143400.54</v>
      </c>
    </row>
    <row r="31" customFormat="false" ht="15" hidden="false" customHeight="true" outlineLevel="0" collapsed="false">
      <c r="A31" s="3" t="n">
        <v>45170</v>
      </c>
      <c r="B31" s="1" t="s">
        <v>4</v>
      </c>
      <c r="C31" s="4" t="n">
        <v>145470.9</v>
      </c>
    </row>
    <row r="32" customFormat="false" ht="15" hidden="false" customHeight="true" outlineLevel="0" collapsed="false">
      <c r="A32" s="3" t="n">
        <v>45200</v>
      </c>
      <c r="B32" s="1" t="s">
        <v>4</v>
      </c>
      <c r="C32" s="4" t="n">
        <v>152075.51</v>
      </c>
    </row>
    <row r="33" customFormat="false" ht="15" hidden="false" customHeight="true" outlineLevel="0" collapsed="false">
      <c r="A33" s="3" t="n">
        <v>45231</v>
      </c>
      <c r="B33" s="1" t="s">
        <v>4</v>
      </c>
      <c r="C33" s="4" t="n">
        <v>166946.95</v>
      </c>
    </row>
    <row r="34" customFormat="false" ht="15" hidden="false" customHeight="true" outlineLevel="0" collapsed="false">
      <c r="A34" s="3" t="n">
        <v>45261</v>
      </c>
      <c r="B34" s="1" t="s">
        <v>4</v>
      </c>
      <c r="C34" s="4" t="n">
        <v>166146.95</v>
      </c>
    </row>
    <row r="35" customFormat="false" ht="15" hidden="false" customHeight="true" outlineLevel="0" collapsed="false">
      <c r="A35" s="3" t="n">
        <v>45292</v>
      </c>
      <c r="B35" s="1" t="s">
        <v>4</v>
      </c>
      <c r="C35" s="4" t="n">
        <v>156166.51</v>
      </c>
    </row>
    <row r="36" customFormat="false" ht="15" hidden="false" customHeight="true" outlineLevel="0" collapsed="false">
      <c r="A36" s="3" t="n">
        <v>45323</v>
      </c>
      <c r="B36" s="1" t="s">
        <v>4</v>
      </c>
      <c r="C36" s="4" t="n">
        <v>149412.87</v>
      </c>
    </row>
    <row r="37" customFormat="false" ht="15" hidden="false" customHeight="true" outlineLevel="0" collapsed="false">
      <c r="A37" s="3" t="n">
        <v>45352</v>
      </c>
      <c r="B37" s="1" t="s">
        <v>4</v>
      </c>
      <c r="C37" s="4" t="n">
        <v>160458.5</v>
      </c>
    </row>
    <row r="38" customFormat="false" ht="15" hidden="false" customHeight="true" outlineLevel="0" collapsed="false">
      <c r="A38" s="3" t="n">
        <v>45383</v>
      </c>
      <c r="B38" s="1" t="s">
        <v>4</v>
      </c>
      <c r="C38" s="4" t="n">
        <v>167560.44</v>
      </c>
    </row>
    <row r="39" customFormat="false" ht="15" hidden="false" customHeight="true" outlineLevel="0" collapsed="false">
      <c r="A39" s="3" t="n">
        <v>45413</v>
      </c>
      <c r="B39" s="1" t="s">
        <v>4</v>
      </c>
      <c r="C39" s="4" t="n">
        <v>168030.34</v>
      </c>
    </row>
    <row r="40" customFormat="false" ht="15" hidden="false" customHeight="true" outlineLevel="0" collapsed="false">
      <c r="A40" s="3" t="n">
        <v>45444</v>
      </c>
      <c r="B40" s="1" t="s">
        <v>4</v>
      </c>
      <c r="C40" s="4" t="n">
        <v>169051.85</v>
      </c>
    </row>
    <row r="41" customFormat="false" ht="15" hidden="false" customHeight="true" outlineLevel="0" collapsed="false">
      <c r="A41" s="3" t="n">
        <v>45474</v>
      </c>
      <c r="B41" s="1" t="s">
        <v>4</v>
      </c>
      <c r="C41" s="4" t="n">
        <v>166807.93</v>
      </c>
    </row>
    <row r="42" customFormat="false" ht="15" hidden="false" customHeight="true" outlineLevel="0" collapsed="false">
      <c r="A42" s="3" t="n">
        <v>45505</v>
      </c>
      <c r="B42" s="1" t="s">
        <v>4</v>
      </c>
      <c r="C42" s="4" t="n">
        <v>173614.21</v>
      </c>
    </row>
    <row r="43" customFormat="false" ht="15" hidden="false" customHeight="true" outlineLevel="0" collapsed="false">
      <c r="A43" s="3" t="n">
        <v>45536</v>
      </c>
      <c r="B43" s="1" t="s">
        <v>4</v>
      </c>
      <c r="C43" s="4" t="n">
        <v>169879.89</v>
      </c>
    </row>
    <row r="44" customFormat="false" ht="15" hidden="false" customHeight="true" outlineLevel="0" collapsed="false">
      <c r="A44" s="3" t="n">
        <v>44927</v>
      </c>
      <c r="B44" s="1" t="s">
        <v>5</v>
      </c>
      <c r="C44" s="4" t="n">
        <v>140227.11</v>
      </c>
    </row>
    <row r="45" customFormat="false" ht="15" hidden="false" customHeight="true" outlineLevel="0" collapsed="false">
      <c r="A45" s="3" t="n">
        <v>44958</v>
      </c>
      <c r="B45" s="1" t="s">
        <v>5</v>
      </c>
      <c r="C45" s="4" t="n">
        <v>135150.2</v>
      </c>
    </row>
    <row r="46" customFormat="false" ht="15" hidden="false" customHeight="true" outlineLevel="0" collapsed="false">
      <c r="A46" s="3" t="n">
        <v>44986</v>
      </c>
      <c r="B46" s="1" t="s">
        <v>5</v>
      </c>
      <c r="C46" s="4" t="n">
        <v>141767.77</v>
      </c>
    </row>
    <row r="47" customFormat="false" ht="15" hidden="false" customHeight="true" outlineLevel="0" collapsed="false">
      <c r="A47" s="3" t="n">
        <v>45017</v>
      </c>
      <c r="B47" s="1" t="s">
        <v>5</v>
      </c>
      <c r="C47" s="4" t="n">
        <v>142542.48</v>
      </c>
    </row>
    <row r="48" customFormat="false" ht="15" hidden="false" customHeight="true" outlineLevel="0" collapsed="false">
      <c r="A48" s="3" t="n">
        <v>45047</v>
      </c>
      <c r="B48" s="1" t="s">
        <v>5</v>
      </c>
      <c r="C48" s="4" t="n">
        <v>160149.47</v>
      </c>
    </row>
    <row r="49" customFormat="false" ht="15" hidden="false" customHeight="true" outlineLevel="0" collapsed="false">
      <c r="A49" s="3" t="n">
        <v>45078</v>
      </c>
      <c r="B49" s="1" t="s">
        <v>5</v>
      </c>
      <c r="C49" s="4" t="n">
        <v>153616.01</v>
      </c>
    </row>
    <row r="50" customFormat="false" ht="15" hidden="false" customHeight="true" outlineLevel="0" collapsed="false">
      <c r="A50" s="3" t="n">
        <v>45108</v>
      </c>
      <c r="B50" s="1" t="s">
        <v>5</v>
      </c>
      <c r="C50" s="4" t="n">
        <v>160002.56</v>
      </c>
    </row>
    <row r="51" customFormat="false" ht="15" hidden="false" customHeight="true" outlineLevel="0" collapsed="false">
      <c r="A51" s="3" t="n">
        <v>45139</v>
      </c>
      <c r="B51" s="1" t="s">
        <v>5</v>
      </c>
      <c r="C51" s="4" t="n">
        <v>162885.07</v>
      </c>
    </row>
    <row r="52" customFormat="false" ht="15" hidden="false" customHeight="true" outlineLevel="0" collapsed="false">
      <c r="A52" s="3" t="n">
        <v>45170</v>
      </c>
      <c r="B52" s="1" t="s">
        <v>5</v>
      </c>
      <c r="C52" s="4" t="n">
        <v>173619.81</v>
      </c>
    </row>
    <row r="53" customFormat="false" ht="15" hidden="false" customHeight="true" outlineLevel="0" collapsed="false">
      <c r="A53" s="3" t="n">
        <v>45200</v>
      </c>
      <c r="B53" s="1" t="s">
        <v>5</v>
      </c>
      <c r="C53" s="4" t="n">
        <v>174825.46</v>
      </c>
    </row>
    <row r="54" customFormat="false" ht="15" hidden="false" customHeight="true" outlineLevel="0" collapsed="false">
      <c r="A54" s="3" t="n">
        <v>45231</v>
      </c>
      <c r="B54" s="1" t="s">
        <v>5</v>
      </c>
      <c r="C54" s="4" t="n">
        <v>194491.6</v>
      </c>
    </row>
    <row r="55" customFormat="false" ht="15" hidden="false" customHeight="true" outlineLevel="0" collapsed="false">
      <c r="A55" s="3" t="n">
        <v>45261</v>
      </c>
      <c r="B55" s="1" t="s">
        <v>5</v>
      </c>
      <c r="C55" s="4" t="n">
        <v>206684.67</v>
      </c>
    </row>
    <row r="56" customFormat="false" ht="15" hidden="false" customHeight="true" outlineLevel="0" collapsed="false">
      <c r="A56" s="3" t="n">
        <v>45292</v>
      </c>
      <c r="B56" s="1" t="s">
        <v>5</v>
      </c>
      <c r="C56" s="4" t="n">
        <v>178538.26</v>
      </c>
    </row>
    <row r="57" customFormat="false" ht="15" hidden="false" customHeight="true" outlineLevel="0" collapsed="false">
      <c r="A57" s="3" t="n">
        <v>45323</v>
      </c>
      <c r="B57" s="1" t="s">
        <v>5</v>
      </c>
      <c r="C57" s="4" t="n">
        <v>180481.26</v>
      </c>
    </row>
    <row r="58" customFormat="false" ht="15" hidden="false" customHeight="true" outlineLevel="0" collapsed="false">
      <c r="A58" s="3" t="n">
        <v>45352</v>
      </c>
      <c r="B58" s="1" t="s">
        <v>5</v>
      </c>
      <c r="C58" s="4" t="n">
        <v>177548.89</v>
      </c>
    </row>
    <row r="59" customFormat="false" ht="15" hidden="false" customHeight="true" outlineLevel="0" collapsed="false">
      <c r="A59" s="3" t="n">
        <v>45383</v>
      </c>
      <c r="B59" s="1" t="s">
        <v>5</v>
      </c>
      <c r="C59" s="4" t="n">
        <v>201693.01</v>
      </c>
    </row>
    <row r="60" customFormat="false" ht="15" hidden="false" customHeight="true" outlineLevel="0" collapsed="false">
      <c r="A60" s="3" t="n">
        <v>45413</v>
      </c>
      <c r="B60" s="1" t="s">
        <v>5</v>
      </c>
      <c r="C60" s="4" t="n">
        <v>202003.08</v>
      </c>
    </row>
    <row r="61" customFormat="false" ht="15" hidden="false" customHeight="true" outlineLevel="0" collapsed="false">
      <c r="A61" s="3" t="n">
        <v>45444</v>
      </c>
      <c r="B61" s="1" t="s">
        <v>5</v>
      </c>
      <c r="C61" s="4" t="n">
        <v>208096.3</v>
      </c>
    </row>
    <row r="62" customFormat="false" ht="15" hidden="false" customHeight="true" outlineLevel="0" collapsed="false">
      <c r="A62" s="3" t="n">
        <v>45474</v>
      </c>
      <c r="B62" s="1" t="s">
        <v>5</v>
      </c>
      <c r="C62" s="4" t="n">
        <v>222325.22</v>
      </c>
    </row>
    <row r="63" customFormat="false" ht="15" hidden="false" customHeight="true" outlineLevel="0" collapsed="false">
      <c r="A63" s="3" t="n">
        <v>45505</v>
      </c>
      <c r="B63" s="1" t="s">
        <v>5</v>
      </c>
      <c r="C63" s="4" t="n">
        <v>214754.95</v>
      </c>
    </row>
    <row r="64" customFormat="false" ht="15" hidden="false" customHeight="true" outlineLevel="0" collapsed="false">
      <c r="A64" s="3" t="n">
        <v>45536</v>
      </c>
      <c r="B64" s="1" t="s">
        <v>5</v>
      </c>
      <c r="C64" s="4" t="n">
        <v>220200.41</v>
      </c>
    </row>
    <row r="65" customFormat="false" ht="15" hidden="false" customHeight="true" outlineLevel="0" collapsed="false">
      <c r="A65" s="3" t="n">
        <v>44927</v>
      </c>
      <c r="B65" s="1" t="s">
        <v>6</v>
      </c>
      <c r="C65" s="4" t="n">
        <v>112402.66</v>
      </c>
    </row>
    <row r="66" customFormat="false" ht="15" hidden="false" customHeight="true" outlineLevel="0" collapsed="false">
      <c r="A66" s="3" t="n">
        <v>44958</v>
      </c>
      <c r="B66" s="1" t="s">
        <v>6</v>
      </c>
      <c r="C66" s="4" t="n">
        <v>107205.94</v>
      </c>
    </row>
    <row r="67" customFormat="false" ht="15" hidden="false" customHeight="true" outlineLevel="0" collapsed="false">
      <c r="A67" s="3" t="n">
        <v>44986</v>
      </c>
      <c r="B67" s="1" t="s">
        <v>6</v>
      </c>
      <c r="C67" s="4" t="n">
        <v>117183.85</v>
      </c>
    </row>
    <row r="68" customFormat="false" ht="15" hidden="false" customHeight="true" outlineLevel="0" collapsed="false">
      <c r="A68" s="3" t="n">
        <v>45017</v>
      </c>
      <c r="B68" s="1" t="s">
        <v>6</v>
      </c>
      <c r="C68" s="4" t="n">
        <v>121015</v>
      </c>
    </row>
    <row r="69" customFormat="false" ht="15" hidden="false" customHeight="true" outlineLevel="0" collapsed="false">
      <c r="A69" s="3" t="n">
        <v>45047</v>
      </c>
      <c r="B69" s="1" t="s">
        <v>6</v>
      </c>
      <c r="C69" s="4" t="n">
        <v>123697.45</v>
      </c>
    </row>
    <row r="70" customFormat="false" ht="15" hidden="false" customHeight="true" outlineLevel="0" collapsed="false">
      <c r="A70" s="3" t="n">
        <v>45078</v>
      </c>
      <c r="B70" s="1" t="s">
        <v>6</v>
      </c>
      <c r="C70" s="4" t="n">
        <v>125178.66</v>
      </c>
    </row>
    <row r="71" customFormat="false" ht="15" hidden="false" customHeight="true" outlineLevel="0" collapsed="false">
      <c r="A71" s="3" t="n">
        <v>45108</v>
      </c>
      <c r="B71" s="1" t="s">
        <v>6</v>
      </c>
      <c r="C71" s="4" t="n">
        <v>131147.16</v>
      </c>
    </row>
    <row r="72" customFormat="false" ht="15" hidden="false" customHeight="true" outlineLevel="0" collapsed="false">
      <c r="A72" s="3" t="n">
        <v>45139</v>
      </c>
      <c r="B72" s="1" t="s">
        <v>6</v>
      </c>
      <c r="C72" s="4" t="n">
        <v>135116.79</v>
      </c>
    </row>
    <row r="73" customFormat="false" ht="15" hidden="false" customHeight="true" outlineLevel="0" collapsed="false">
      <c r="A73" s="3" t="n">
        <v>45170</v>
      </c>
      <c r="B73" s="1" t="s">
        <v>6</v>
      </c>
      <c r="C73" s="4" t="n">
        <v>140225.57</v>
      </c>
    </row>
    <row r="74" customFormat="false" ht="15" hidden="false" customHeight="true" outlineLevel="0" collapsed="false">
      <c r="A74" s="3" t="n">
        <v>45200</v>
      </c>
      <c r="B74" s="1" t="s">
        <v>6</v>
      </c>
      <c r="C74" s="4" t="n">
        <v>149368.1</v>
      </c>
    </row>
    <row r="75" customFormat="false" ht="15" hidden="false" customHeight="true" outlineLevel="0" collapsed="false">
      <c r="A75" s="3" t="n">
        <v>45231</v>
      </c>
      <c r="B75" s="1" t="s">
        <v>6</v>
      </c>
      <c r="C75" s="4" t="n">
        <v>155991.52</v>
      </c>
    </row>
    <row r="76" customFormat="false" ht="15" hidden="false" customHeight="true" outlineLevel="0" collapsed="false">
      <c r="A76" s="3" t="n">
        <v>45261</v>
      </c>
      <c r="B76" s="1" t="s">
        <v>6</v>
      </c>
      <c r="C76" s="4" t="n">
        <v>167717.28</v>
      </c>
    </row>
    <row r="77" customFormat="false" ht="15" hidden="false" customHeight="true" outlineLevel="0" collapsed="false">
      <c r="A77" s="3" t="n">
        <v>45292</v>
      </c>
      <c r="B77" s="1" t="s">
        <v>6</v>
      </c>
      <c r="C77" s="4" t="n">
        <v>151366.89</v>
      </c>
    </row>
    <row r="78" customFormat="false" ht="15" hidden="false" customHeight="true" outlineLevel="0" collapsed="false">
      <c r="A78" s="3" t="n">
        <v>45323</v>
      </c>
      <c r="B78" s="1" t="s">
        <v>6</v>
      </c>
      <c r="C78" s="4" t="n">
        <v>148641.18</v>
      </c>
    </row>
    <row r="79" customFormat="false" ht="15" hidden="false" customHeight="true" outlineLevel="0" collapsed="false">
      <c r="A79" s="3" t="n">
        <v>45352</v>
      </c>
      <c r="B79" s="1" t="s">
        <v>6</v>
      </c>
      <c r="C79" s="4" t="n">
        <v>163354.77</v>
      </c>
    </row>
    <row r="80" customFormat="false" ht="15" hidden="false" customHeight="true" outlineLevel="0" collapsed="false">
      <c r="A80" s="3" t="n">
        <v>45383</v>
      </c>
      <c r="B80" s="1" t="s">
        <v>6</v>
      </c>
      <c r="C80" s="4" t="n">
        <v>165132.88</v>
      </c>
    </row>
    <row r="81" customFormat="false" ht="15" hidden="false" customHeight="true" outlineLevel="0" collapsed="false">
      <c r="A81" s="3" t="n">
        <v>45413</v>
      </c>
      <c r="B81" s="1" t="s">
        <v>6</v>
      </c>
      <c r="C81" s="4" t="n">
        <v>163083.7</v>
      </c>
    </row>
    <row r="82" customFormat="false" ht="15" hidden="false" customHeight="true" outlineLevel="0" collapsed="false">
      <c r="A82" s="3" t="n">
        <v>45444</v>
      </c>
      <c r="B82" s="1" t="s">
        <v>6</v>
      </c>
      <c r="C82" s="4" t="n">
        <v>170310.9</v>
      </c>
    </row>
    <row r="83" customFormat="false" ht="15" hidden="false" customHeight="true" outlineLevel="0" collapsed="false">
      <c r="A83" s="3" t="n">
        <v>45474</v>
      </c>
      <c r="B83" s="1" t="s">
        <v>6</v>
      </c>
      <c r="C83" s="4" t="n">
        <v>180743.18</v>
      </c>
    </row>
    <row r="84" customFormat="false" ht="15" hidden="false" customHeight="true" outlineLevel="0" collapsed="false">
      <c r="A84" s="3" t="n">
        <v>45505</v>
      </c>
      <c r="B84" s="1" t="s">
        <v>6</v>
      </c>
      <c r="C84" s="4" t="n">
        <v>178240.8</v>
      </c>
    </row>
    <row r="85" customFormat="false" ht="15" hidden="false" customHeight="true" outlineLevel="0" collapsed="false">
      <c r="A85" s="3" t="n">
        <v>45536</v>
      </c>
      <c r="B85" s="1" t="s">
        <v>6</v>
      </c>
      <c r="C85" s="4" t="n">
        <v>181217.01</v>
      </c>
    </row>
    <row r="86" customFormat="false" ht="15" hidden="false" customHeight="true" outlineLevel="0" collapsed="false">
      <c r="A86" s="3" t="n">
        <v>44927</v>
      </c>
      <c r="B86" s="1" t="s">
        <v>7</v>
      </c>
      <c r="C86" s="4" t="n">
        <v>74071.61</v>
      </c>
    </row>
    <row r="87" customFormat="false" ht="15" hidden="false" customHeight="true" outlineLevel="0" collapsed="false">
      <c r="A87" s="3" t="n">
        <v>44958</v>
      </c>
      <c r="B87" s="1" t="s">
        <v>7</v>
      </c>
      <c r="C87" s="4" t="n">
        <v>66717.29</v>
      </c>
    </row>
    <row r="88" customFormat="false" ht="15" hidden="false" customHeight="true" outlineLevel="0" collapsed="false">
      <c r="A88" s="3" t="n">
        <v>44986</v>
      </c>
      <c r="B88" s="1" t="s">
        <v>7</v>
      </c>
      <c r="C88" s="4" t="n">
        <v>73664.3</v>
      </c>
    </row>
    <row r="89" customFormat="false" ht="15" hidden="false" customHeight="true" outlineLevel="0" collapsed="false">
      <c r="A89" s="3" t="n">
        <v>45017</v>
      </c>
      <c r="B89" s="1" t="s">
        <v>7</v>
      </c>
      <c r="C89" s="4" t="n">
        <v>72445.77</v>
      </c>
    </row>
    <row r="90" customFormat="false" ht="15" hidden="false" customHeight="true" outlineLevel="0" collapsed="false">
      <c r="A90" s="3" t="n">
        <v>45047</v>
      </c>
      <c r="B90" s="1" t="s">
        <v>7</v>
      </c>
      <c r="C90" s="4" t="n">
        <v>77200.45</v>
      </c>
    </row>
    <row r="91" customFormat="false" ht="15" hidden="false" customHeight="true" outlineLevel="0" collapsed="false">
      <c r="A91" s="3" t="n">
        <v>45078</v>
      </c>
      <c r="B91" s="1" t="s">
        <v>7</v>
      </c>
      <c r="C91" s="4" t="n">
        <v>76677.03</v>
      </c>
    </row>
    <row r="92" customFormat="false" ht="15" hidden="false" customHeight="true" outlineLevel="0" collapsed="false">
      <c r="A92" s="3" t="n">
        <v>45108</v>
      </c>
      <c r="B92" s="1" t="s">
        <v>7</v>
      </c>
      <c r="C92" s="4" t="n">
        <v>80700.11</v>
      </c>
    </row>
    <row r="93" customFormat="false" ht="15" hidden="false" customHeight="true" outlineLevel="0" collapsed="false">
      <c r="A93" s="3" t="n">
        <v>45139</v>
      </c>
      <c r="B93" s="1" t="s">
        <v>7</v>
      </c>
      <c r="C93" s="4" t="n">
        <v>79629.23</v>
      </c>
    </row>
    <row r="94" customFormat="false" ht="15" hidden="false" customHeight="true" outlineLevel="0" collapsed="false">
      <c r="A94" s="3" t="n">
        <v>45170</v>
      </c>
      <c r="B94" s="1" t="s">
        <v>7</v>
      </c>
      <c r="C94" s="4" t="n">
        <v>80864.62</v>
      </c>
    </row>
    <row r="95" customFormat="false" ht="15" hidden="false" customHeight="true" outlineLevel="0" collapsed="false">
      <c r="A95" s="3" t="n">
        <v>45200</v>
      </c>
      <c r="B95" s="1" t="s">
        <v>7</v>
      </c>
      <c r="C95" s="4" t="n">
        <v>83275.1</v>
      </c>
    </row>
    <row r="96" customFormat="false" ht="15" hidden="false" customHeight="true" outlineLevel="0" collapsed="false">
      <c r="A96" s="3" t="n">
        <v>45231</v>
      </c>
      <c r="B96" s="1" t="s">
        <v>7</v>
      </c>
      <c r="C96" s="4" t="n">
        <v>95581.87</v>
      </c>
    </row>
    <row r="97" customFormat="false" ht="15" hidden="false" customHeight="true" outlineLevel="0" collapsed="false">
      <c r="A97" s="3" t="n">
        <v>45261</v>
      </c>
      <c r="B97" s="1" t="s">
        <v>7</v>
      </c>
      <c r="C97" s="4" t="n">
        <v>98148.82</v>
      </c>
    </row>
    <row r="98" customFormat="false" ht="15" hidden="false" customHeight="true" outlineLevel="0" collapsed="false">
      <c r="A98" s="3" t="n">
        <v>45292</v>
      </c>
      <c r="B98" s="1" t="s">
        <v>7</v>
      </c>
      <c r="C98" s="4" t="n">
        <v>86926.65</v>
      </c>
    </row>
    <row r="99" customFormat="false" ht="15" hidden="false" customHeight="true" outlineLevel="0" collapsed="false">
      <c r="A99" s="3" t="n">
        <v>45323</v>
      </c>
      <c r="B99" s="1" t="s">
        <v>7</v>
      </c>
      <c r="C99" s="4" t="n">
        <v>83706.08</v>
      </c>
    </row>
    <row r="100" customFormat="false" ht="15" hidden="false" customHeight="true" outlineLevel="0" collapsed="false">
      <c r="A100" s="3" t="n">
        <v>45352</v>
      </c>
      <c r="B100" s="1" t="s">
        <v>7</v>
      </c>
      <c r="C100" s="4" t="n">
        <v>88446.64</v>
      </c>
    </row>
    <row r="101" customFormat="false" ht="15" hidden="false" customHeight="true" outlineLevel="0" collapsed="false">
      <c r="A101" s="3" t="n">
        <v>45383</v>
      </c>
      <c r="B101" s="1" t="s">
        <v>7</v>
      </c>
      <c r="C101" s="4" t="n">
        <v>92550.5</v>
      </c>
    </row>
    <row r="102" customFormat="false" ht="15" hidden="false" customHeight="true" outlineLevel="0" collapsed="false">
      <c r="A102" s="3" t="n">
        <v>45413</v>
      </c>
      <c r="B102" s="1" t="s">
        <v>7</v>
      </c>
      <c r="C102" s="4" t="n">
        <v>91217.05</v>
      </c>
    </row>
    <row r="103" customFormat="false" ht="15" hidden="false" customHeight="true" outlineLevel="0" collapsed="false">
      <c r="A103" s="3" t="n">
        <v>45444</v>
      </c>
      <c r="B103" s="1" t="s">
        <v>7</v>
      </c>
      <c r="C103" s="4" t="n">
        <v>67862.43</v>
      </c>
    </row>
    <row r="104" customFormat="false" ht="15" hidden="false" customHeight="true" outlineLevel="0" collapsed="false">
      <c r="A104" s="3" t="n">
        <v>45474</v>
      </c>
      <c r="B104" s="1" t="s">
        <v>7</v>
      </c>
      <c r="C104" s="4" t="n">
        <v>99249.12</v>
      </c>
    </row>
    <row r="105" customFormat="false" ht="15" hidden="false" customHeight="true" outlineLevel="0" collapsed="false">
      <c r="A105" s="3" t="n">
        <v>45505</v>
      </c>
      <c r="B105" s="1" t="s">
        <v>7</v>
      </c>
      <c r="C105" s="4" t="n">
        <v>103763.83</v>
      </c>
    </row>
    <row r="106" customFormat="false" ht="15" hidden="false" customHeight="true" outlineLevel="0" collapsed="false">
      <c r="A106" s="3" t="n">
        <v>45536</v>
      </c>
      <c r="B106" s="1" t="s">
        <v>7</v>
      </c>
      <c r="C106" s="4" t="n">
        <v>102960.43</v>
      </c>
    </row>
    <row r="107" customFormat="false" ht="15" hidden="false" customHeight="true" outlineLevel="0" collapsed="false">
      <c r="A107" s="3" t="n">
        <v>44927</v>
      </c>
      <c r="B107" s="1" t="s">
        <v>8</v>
      </c>
      <c r="C107" s="4" t="n">
        <v>86944.02</v>
      </c>
    </row>
    <row r="108" customFormat="false" ht="15" hidden="false" customHeight="true" outlineLevel="0" collapsed="false">
      <c r="A108" s="3" t="n">
        <v>44958</v>
      </c>
      <c r="B108" s="1" t="s">
        <v>8</v>
      </c>
      <c r="C108" s="4" t="n">
        <v>88644.53</v>
      </c>
    </row>
    <row r="109" customFormat="false" ht="15" hidden="false" customHeight="true" outlineLevel="0" collapsed="false">
      <c r="A109" s="3" t="n">
        <v>44986</v>
      </c>
      <c r="B109" s="1" t="s">
        <v>8</v>
      </c>
      <c r="C109" s="4" t="n">
        <v>95068.46</v>
      </c>
    </row>
    <row r="110" customFormat="false" ht="15" hidden="false" customHeight="true" outlineLevel="0" collapsed="false">
      <c r="A110" s="3" t="n">
        <v>45017</v>
      </c>
      <c r="B110" s="1" t="s">
        <v>8</v>
      </c>
      <c r="C110" s="4" t="n">
        <v>92520.47</v>
      </c>
    </row>
    <row r="111" customFormat="false" ht="15" hidden="false" customHeight="true" outlineLevel="0" collapsed="false">
      <c r="A111" s="3" t="n">
        <v>45047</v>
      </c>
      <c r="B111" s="1" t="s">
        <v>8</v>
      </c>
      <c r="C111" s="4" t="n">
        <v>97152.22</v>
      </c>
    </row>
    <row r="112" customFormat="false" ht="15" hidden="false" customHeight="true" outlineLevel="0" collapsed="false">
      <c r="A112" s="3" t="n">
        <v>45078</v>
      </c>
      <c r="B112" s="1" t="s">
        <v>8</v>
      </c>
      <c r="C112" s="4" t="n">
        <v>103419.56</v>
      </c>
    </row>
    <row r="113" customFormat="false" ht="15" hidden="false" customHeight="true" outlineLevel="0" collapsed="false">
      <c r="A113" s="3" t="n">
        <v>45108</v>
      </c>
      <c r="B113" s="1" t="s">
        <v>8</v>
      </c>
      <c r="C113" s="4" t="n">
        <v>101549.39</v>
      </c>
    </row>
    <row r="114" customFormat="false" ht="15" hidden="false" customHeight="true" outlineLevel="0" collapsed="false">
      <c r="A114" s="3" t="n">
        <v>45139</v>
      </c>
      <c r="B114" s="1" t="s">
        <v>8</v>
      </c>
      <c r="C114" s="4" t="n">
        <v>105292.43</v>
      </c>
    </row>
    <row r="115" customFormat="false" ht="15" hidden="false" customHeight="true" outlineLevel="0" collapsed="false">
      <c r="A115" s="3" t="n">
        <v>45170</v>
      </c>
      <c r="B115" s="1" t="s">
        <v>8</v>
      </c>
      <c r="C115" s="4" t="n">
        <v>103563.6</v>
      </c>
    </row>
    <row r="116" customFormat="false" ht="15" hidden="false" customHeight="true" outlineLevel="0" collapsed="false">
      <c r="A116" s="3" t="n">
        <v>45200</v>
      </c>
      <c r="B116" s="1" t="s">
        <v>8</v>
      </c>
      <c r="C116" s="4" t="n">
        <v>100999.33</v>
      </c>
    </row>
    <row r="117" customFormat="false" ht="15" hidden="false" customHeight="true" outlineLevel="0" collapsed="false">
      <c r="A117" s="3" t="n">
        <v>45231</v>
      </c>
      <c r="B117" s="1" t="s">
        <v>8</v>
      </c>
      <c r="C117" s="4" t="n">
        <v>123431.84</v>
      </c>
    </row>
    <row r="118" customFormat="false" ht="15" hidden="false" customHeight="true" outlineLevel="0" collapsed="false">
      <c r="A118" s="3" t="n">
        <v>45261</v>
      </c>
      <c r="B118" s="1" t="s">
        <v>8</v>
      </c>
      <c r="C118" s="4" t="n">
        <v>123400.33</v>
      </c>
    </row>
    <row r="119" customFormat="false" ht="15" hidden="false" customHeight="true" outlineLevel="0" collapsed="false">
      <c r="A119" s="3" t="n">
        <v>45292</v>
      </c>
      <c r="B119" s="1" t="s">
        <v>8</v>
      </c>
      <c r="C119" s="4" t="n">
        <v>113622.73</v>
      </c>
    </row>
    <row r="120" customFormat="false" ht="15" hidden="false" customHeight="true" outlineLevel="0" collapsed="false">
      <c r="A120" s="3" t="n">
        <v>45323</v>
      </c>
      <c r="B120" s="1" t="s">
        <v>8</v>
      </c>
      <c r="C120" s="4" t="n">
        <v>109357.75</v>
      </c>
    </row>
    <row r="121" customFormat="false" ht="15" hidden="false" customHeight="true" outlineLevel="0" collapsed="false">
      <c r="A121" s="3" t="n">
        <v>45352</v>
      </c>
      <c r="B121" s="1" t="s">
        <v>8</v>
      </c>
      <c r="C121" s="4" t="n">
        <v>114372.87</v>
      </c>
    </row>
    <row r="122" customFormat="false" ht="15" hidden="false" customHeight="true" outlineLevel="0" collapsed="false">
      <c r="A122" s="3" t="n">
        <v>45383</v>
      </c>
      <c r="B122" s="1" t="s">
        <v>8</v>
      </c>
      <c r="C122" s="4" t="n">
        <v>119586.82</v>
      </c>
    </row>
    <row r="123" customFormat="false" ht="15" hidden="false" customHeight="true" outlineLevel="0" collapsed="false">
      <c r="A123" s="3" t="n">
        <v>45413</v>
      </c>
      <c r="B123" s="1" t="s">
        <v>8</v>
      </c>
      <c r="C123" s="4" t="n">
        <v>119310.42</v>
      </c>
    </row>
    <row r="124" customFormat="false" ht="15" hidden="false" customHeight="true" outlineLevel="0" collapsed="false">
      <c r="A124" s="3" t="n">
        <v>45444</v>
      </c>
      <c r="B124" s="1" t="s">
        <v>8</v>
      </c>
      <c r="C124" s="4" t="n">
        <v>120109.64</v>
      </c>
    </row>
    <row r="125" customFormat="false" ht="15" hidden="false" customHeight="true" outlineLevel="0" collapsed="false">
      <c r="A125" s="3" t="n">
        <v>45474</v>
      </c>
      <c r="B125" s="1" t="s">
        <v>8</v>
      </c>
      <c r="C125" s="4" t="n">
        <v>129257.62</v>
      </c>
    </row>
    <row r="126" customFormat="false" ht="15" hidden="false" customHeight="true" outlineLevel="0" collapsed="false">
      <c r="A126" s="3" t="n">
        <v>45505</v>
      </c>
      <c r="B126" s="1" t="s">
        <v>8</v>
      </c>
      <c r="C126" s="4" t="n">
        <v>125429.12</v>
      </c>
    </row>
    <row r="127" customFormat="false" ht="15" hidden="false" customHeight="true" outlineLevel="0" collapsed="false">
      <c r="A127" s="3" t="n">
        <v>45536</v>
      </c>
      <c r="B127" s="1" t="s">
        <v>8</v>
      </c>
      <c r="C127" s="4" t="n">
        <v>130554.76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2"/>
    <col collapsed="false" customWidth="true" hidden="false" outlineLevel="0" max="8" min="8" style="1" width="13"/>
  </cols>
  <sheetData>
    <row r="1" customFormat="false" ht="17.25" hidden="false" customHeight="true" outlineLevel="0" collapsed="false">
      <c r="A1" s="5" t="s">
        <v>9</v>
      </c>
    </row>
    <row r="2" customFormat="false" ht="15" hidden="false" customHeight="true" outlineLevel="0" collapsed="false">
      <c r="A2" s="6" t="s">
        <v>10</v>
      </c>
    </row>
    <row r="4" customFormat="false" ht="15" hidden="false" customHeight="true" outlineLevel="0" collapsed="false">
      <c r="A4" s="2" t="s">
        <v>11</v>
      </c>
      <c r="B4" s="2" t="s">
        <v>3</v>
      </c>
      <c r="C4" s="2" t="s">
        <v>6</v>
      </c>
      <c r="D4" s="2" t="s">
        <v>5</v>
      </c>
      <c r="E4" s="2" t="s">
        <v>4</v>
      </c>
      <c r="F4" s="2" t="s">
        <v>7</v>
      </c>
      <c r="G4" s="2" t="s">
        <v>8</v>
      </c>
      <c r="H4" s="2" t="s">
        <v>12</v>
      </c>
    </row>
    <row r="5" customFormat="false" ht="15" hidden="false" customHeight="true" outlineLevel="0" collapsed="false">
      <c r="A5" s="7" t="n">
        <v>44927</v>
      </c>
      <c r="B5" s="8" t="n">
        <f aca="false">SUMIFS(revenue_data!$C:$C,revenue_data!$A:$A,$A5,revenue_data!$B:$B,B$4)</f>
        <v>185463.84</v>
      </c>
      <c r="C5" s="8" t="n">
        <f aca="false">SUMIFS(revenue_data!$C:$C,revenue_data!$A:$A,$A5,revenue_data!$B:$B,C$4)</f>
        <v>112402.66</v>
      </c>
      <c r="D5" s="8" t="n">
        <f aca="false">SUMIFS(revenue_data!$C:$C,revenue_data!$A:$A,$A5,revenue_data!$B:$B,D$4)</f>
        <v>140227.11</v>
      </c>
      <c r="E5" s="8" t="n">
        <f aca="false">SUMIFS(revenue_data!$C:$C,revenue_data!$A:$A,$A5,revenue_data!$B:$B,E$4)</f>
        <v>136933.28</v>
      </c>
      <c r="F5" s="8" t="n">
        <f aca="false">SUMIFS(revenue_data!$C:$C,revenue_data!$A:$A,$A5,revenue_data!$B:$B,F$4)</f>
        <v>74071.61</v>
      </c>
      <c r="G5" s="8" t="n">
        <f aca="false">SUMIFS(revenue_data!$C:$C,revenue_data!$A:$A,$A5,revenue_data!$B:$B,G$4)</f>
        <v>86944.02</v>
      </c>
      <c r="H5" s="8" t="n">
        <f aca="false">SUM(B5:G5)</f>
        <v>736042.52</v>
      </c>
    </row>
    <row r="6" customFormat="false" ht="15" hidden="false" customHeight="true" outlineLevel="0" collapsed="false">
      <c r="A6" s="7" t="n">
        <v>44958</v>
      </c>
      <c r="B6" s="8" t="n">
        <f aca="false">SUMIFS(revenue_data!$C:$C,revenue_data!$A:$A,$A6,revenue_data!$B:$B,B$4)</f>
        <v>170074.93</v>
      </c>
      <c r="C6" s="8" t="n">
        <f aca="false">SUMIFS(revenue_data!$C:$C,revenue_data!$A:$A,$A6,revenue_data!$B:$B,C$4)</f>
        <v>107205.94</v>
      </c>
      <c r="D6" s="8" t="n">
        <f aca="false">SUMIFS(revenue_data!$C:$C,revenue_data!$A:$A,$A6,revenue_data!$B:$B,D$4)</f>
        <v>135150.2</v>
      </c>
      <c r="E6" s="8" t="n">
        <f aca="false">SUMIFS(revenue_data!$C:$C,revenue_data!$A:$A,$A6,revenue_data!$B:$B,E$4)</f>
        <v>122861.01</v>
      </c>
      <c r="F6" s="8" t="n">
        <f aca="false">SUMIFS(revenue_data!$C:$C,revenue_data!$A:$A,$A6,revenue_data!$B:$B,F$4)</f>
        <v>66717.29</v>
      </c>
      <c r="G6" s="8" t="n">
        <f aca="false">SUMIFS(revenue_data!$C:$C,revenue_data!$A:$A,$A6,revenue_data!$B:$B,G$4)</f>
        <v>88644.53</v>
      </c>
      <c r="H6" s="8" t="n">
        <f aca="false">SUM(B6:G6)</f>
        <v>690653.9</v>
      </c>
    </row>
    <row r="7" customFormat="false" ht="15" hidden="false" customHeight="true" outlineLevel="0" collapsed="false">
      <c r="A7" s="7" t="n">
        <v>44986</v>
      </c>
      <c r="B7" s="8" t="n">
        <f aca="false">SUMIFS(revenue_data!$C:$C,revenue_data!$A:$A,$A7,revenue_data!$B:$B,B$4)</f>
        <v>180683.26</v>
      </c>
      <c r="C7" s="8" t="n">
        <f aca="false">SUMIFS(revenue_data!$C:$C,revenue_data!$A:$A,$A7,revenue_data!$B:$B,C$4)</f>
        <v>117183.85</v>
      </c>
      <c r="D7" s="8" t="n">
        <f aca="false">SUMIFS(revenue_data!$C:$C,revenue_data!$A:$A,$A7,revenue_data!$B:$B,D$4)</f>
        <v>141767.77</v>
      </c>
      <c r="E7" s="8" t="n">
        <f aca="false">SUMIFS(revenue_data!$C:$C,revenue_data!$A:$A,$A7,revenue_data!$B:$B,E$4)</f>
        <v>133858.65</v>
      </c>
      <c r="F7" s="8" t="n">
        <f aca="false">SUMIFS(revenue_data!$C:$C,revenue_data!$A:$A,$A7,revenue_data!$B:$B,F$4)</f>
        <v>73664.3</v>
      </c>
      <c r="G7" s="8" t="n">
        <f aca="false">SUMIFS(revenue_data!$C:$C,revenue_data!$A:$A,$A7,revenue_data!$B:$B,G$4)</f>
        <v>95068.46</v>
      </c>
      <c r="H7" s="8" t="n">
        <f aca="false">SUM(B7:G7)</f>
        <v>742226.29</v>
      </c>
    </row>
    <row r="8" customFormat="false" ht="15" hidden="false" customHeight="true" outlineLevel="0" collapsed="false">
      <c r="A8" s="7" t="n">
        <v>45017</v>
      </c>
      <c r="B8" s="8" t="n">
        <f aca="false">SUMIFS(revenue_data!$C:$C,revenue_data!$A:$A,$A8,revenue_data!$B:$B,B$4)</f>
        <v>190527.73</v>
      </c>
      <c r="C8" s="8" t="n">
        <f aca="false">SUMIFS(revenue_data!$C:$C,revenue_data!$A:$A,$A8,revenue_data!$B:$B,C$4)</f>
        <v>121015</v>
      </c>
      <c r="D8" s="8" t="n">
        <f aca="false">SUMIFS(revenue_data!$C:$C,revenue_data!$A:$A,$A8,revenue_data!$B:$B,D$4)</f>
        <v>142542.48</v>
      </c>
      <c r="E8" s="8" t="n">
        <f aca="false">SUMIFS(revenue_data!$C:$C,revenue_data!$A:$A,$A8,revenue_data!$B:$B,E$4)</f>
        <v>137120.67</v>
      </c>
      <c r="F8" s="8" t="n">
        <f aca="false">SUMIFS(revenue_data!$C:$C,revenue_data!$A:$A,$A8,revenue_data!$B:$B,F$4)</f>
        <v>72445.77</v>
      </c>
      <c r="G8" s="8" t="n">
        <f aca="false">SUMIFS(revenue_data!$C:$C,revenue_data!$A:$A,$A8,revenue_data!$B:$B,G$4)</f>
        <v>92520.47</v>
      </c>
      <c r="H8" s="8" t="n">
        <f aca="false">SUM(B8:G8)</f>
        <v>756172.12</v>
      </c>
    </row>
    <row r="9" customFormat="false" ht="15" hidden="false" customHeight="true" outlineLevel="0" collapsed="false">
      <c r="A9" s="7" t="n">
        <v>45047</v>
      </c>
      <c r="B9" s="8" t="n">
        <f aca="false">SUMIFS(revenue_data!$C:$C,revenue_data!$A:$A,$A9,revenue_data!$B:$B,B$4)</f>
        <v>192892.6</v>
      </c>
      <c r="C9" s="8" t="n">
        <f aca="false">SUMIFS(revenue_data!$C:$C,revenue_data!$A:$A,$A9,revenue_data!$B:$B,C$4)</f>
        <v>123697.45</v>
      </c>
      <c r="D9" s="8" t="n">
        <f aca="false">SUMIFS(revenue_data!$C:$C,revenue_data!$A:$A,$A9,revenue_data!$B:$B,D$4)</f>
        <v>160149.47</v>
      </c>
      <c r="E9" s="8" t="n">
        <f aca="false">SUMIFS(revenue_data!$C:$C,revenue_data!$A:$A,$A9,revenue_data!$B:$B,E$4)</f>
        <v>142373.95</v>
      </c>
      <c r="F9" s="8" t="n">
        <f aca="false">SUMIFS(revenue_data!$C:$C,revenue_data!$A:$A,$A9,revenue_data!$B:$B,F$4)</f>
        <v>77200.45</v>
      </c>
      <c r="G9" s="8" t="n">
        <f aca="false">SUMIFS(revenue_data!$C:$C,revenue_data!$A:$A,$A9,revenue_data!$B:$B,G$4)</f>
        <v>97152.22</v>
      </c>
      <c r="H9" s="8" t="n">
        <f aca="false">SUM(B9:G9)</f>
        <v>793466.14</v>
      </c>
    </row>
    <row r="10" customFormat="false" ht="15" hidden="false" customHeight="true" outlineLevel="0" collapsed="false">
      <c r="A10" s="7" t="n">
        <v>45078</v>
      </c>
      <c r="B10" s="8" t="n">
        <f aca="false">SUMIFS(revenue_data!$C:$C,revenue_data!$A:$A,$A10,revenue_data!$B:$B,B$4)</f>
        <v>205714.33</v>
      </c>
      <c r="C10" s="8" t="n">
        <f aca="false">SUMIFS(revenue_data!$C:$C,revenue_data!$A:$A,$A10,revenue_data!$B:$B,C$4)</f>
        <v>125178.66</v>
      </c>
      <c r="D10" s="8" t="n">
        <f aca="false">SUMIFS(revenue_data!$C:$C,revenue_data!$A:$A,$A10,revenue_data!$B:$B,D$4)</f>
        <v>153616.01</v>
      </c>
      <c r="E10" s="8" t="n">
        <f aca="false">SUMIFS(revenue_data!$C:$C,revenue_data!$A:$A,$A10,revenue_data!$B:$B,E$4)</f>
        <v>143851.13</v>
      </c>
      <c r="F10" s="8" t="n">
        <f aca="false">SUMIFS(revenue_data!$C:$C,revenue_data!$A:$A,$A10,revenue_data!$B:$B,F$4)</f>
        <v>76677.03</v>
      </c>
      <c r="G10" s="8" t="n">
        <f aca="false">SUMIFS(revenue_data!$C:$C,revenue_data!$A:$A,$A10,revenue_data!$B:$B,G$4)</f>
        <v>103419.56</v>
      </c>
      <c r="H10" s="8" t="n">
        <f aca="false">SUM(B10:G10)</f>
        <v>808456.72</v>
      </c>
    </row>
    <row r="11" customFormat="false" ht="15" hidden="false" customHeight="true" outlineLevel="0" collapsed="false">
      <c r="A11" s="7" t="n">
        <v>45108</v>
      </c>
      <c r="B11" s="8" t="n">
        <f aca="false">SUMIFS(revenue_data!$C:$C,revenue_data!$A:$A,$A11,revenue_data!$B:$B,B$4)</f>
        <v>200181.48</v>
      </c>
      <c r="C11" s="8" t="n">
        <f aca="false">SUMIFS(revenue_data!$C:$C,revenue_data!$A:$A,$A11,revenue_data!$B:$B,C$4)</f>
        <v>131147.16</v>
      </c>
      <c r="D11" s="8" t="n">
        <f aca="false">SUMIFS(revenue_data!$C:$C,revenue_data!$A:$A,$A11,revenue_data!$B:$B,D$4)</f>
        <v>160002.56</v>
      </c>
      <c r="E11" s="8" t="n">
        <f aca="false">SUMIFS(revenue_data!$C:$C,revenue_data!$A:$A,$A11,revenue_data!$B:$B,E$4)</f>
        <v>143466.97</v>
      </c>
      <c r="F11" s="8" t="n">
        <f aca="false">SUMIFS(revenue_data!$C:$C,revenue_data!$A:$A,$A11,revenue_data!$B:$B,F$4)</f>
        <v>80700.11</v>
      </c>
      <c r="G11" s="8" t="n">
        <f aca="false">SUMIFS(revenue_data!$C:$C,revenue_data!$A:$A,$A11,revenue_data!$B:$B,G$4)</f>
        <v>101549.39</v>
      </c>
      <c r="H11" s="8" t="n">
        <f aca="false">SUM(B11:G11)</f>
        <v>817047.67</v>
      </c>
    </row>
    <row r="12" customFormat="false" ht="15" hidden="false" customHeight="true" outlineLevel="0" collapsed="false">
      <c r="A12" s="7" t="n">
        <v>45139</v>
      </c>
      <c r="B12" s="8" t="n">
        <f aca="false">SUMIFS(revenue_data!$C:$C,revenue_data!$A:$A,$A12,revenue_data!$B:$B,B$4)</f>
        <v>203934</v>
      </c>
      <c r="C12" s="8" t="n">
        <f aca="false">SUMIFS(revenue_data!$C:$C,revenue_data!$A:$A,$A12,revenue_data!$B:$B,C$4)</f>
        <v>135116.79</v>
      </c>
      <c r="D12" s="8" t="n">
        <f aca="false">SUMIFS(revenue_data!$C:$C,revenue_data!$A:$A,$A12,revenue_data!$B:$B,D$4)</f>
        <v>162885.07</v>
      </c>
      <c r="E12" s="8" t="n">
        <f aca="false">SUMIFS(revenue_data!$C:$C,revenue_data!$A:$A,$A12,revenue_data!$B:$B,E$4)</f>
        <v>143400.54</v>
      </c>
      <c r="F12" s="8" t="n">
        <f aca="false">SUMIFS(revenue_data!$C:$C,revenue_data!$A:$A,$A12,revenue_data!$B:$B,F$4)</f>
        <v>79629.23</v>
      </c>
      <c r="G12" s="8" t="n">
        <f aca="false">SUMIFS(revenue_data!$C:$C,revenue_data!$A:$A,$A12,revenue_data!$B:$B,G$4)</f>
        <v>105292.43</v>
      </c>
      <c r="H12" s="8" t="n">
        <f aca="false">SUM(B12:G12)</f>
        <v>830258.06</v>
      </c>
    </row>
    <row r="13" customFormat="false" ht="15" hidden="false" customHeight="true" outlineLevel="0" collapsed="false">
      <c r="A13" s="7" t="n">
        <v>45170</v>
      </c>
      <c r="B13" s="8" t="n">
        <f aca="false">SUMIFS(revenue_data!$C:$C,revenue_data!$A:$A,$A13,revenue_data!$B:$B,B$4)</f>
        <v>200082.62</v>
      </c>
      <c r="C13" s="8" t="n">
        <f aca="false">SUMIFS(revenue_data!$C:$C,revenue_data!$A:$A,$A13,revenue_data!$B:$B,C$4)</f>
        <v>140225.57</v>
      </c>
      <c r="D13" s="8" t="n">
        <f aca="false">SUMIFS(revenue_data!$C:$C,revenue_data!$A:$A,$A13,revenue_data!$B:$B,D$4)</f>
        <v>173619.81</v>
      </c>
      <c r="E13" s="8" t="n">
        <f aca="false">SUMIFS(revenue_data!$C:$C,revenue_data!$A:$A,$A13,revenue_data!$B:$B,E$4)</f>
        <v>145470.9</v>
      </c>
      <c r="F13" s="8" t="n">
        <f aca="false">SUMIFS(revenue_data!$C:$C,revenue_data!$A:$A,$A13,revenue_data!$B:$B,F$4)</f>
        <v>80864.62</v>
      </c>
      <c r="G13" s="8" t="n">
        <f aca="false">SUMIFS(revenue_data!$C:$C,revenue_data!$A:$A,$A13,revenue_data!$B:$B,G$4)</f>
        <v>103563.6</v>
      </c>
      <c r="H13" s="8" t="n">
        <f aca="false">SUM(B13:G13)</f>
        <v>843827.12</v>
      </c>
    </row>
    <row r="14" customFormat="false" ht="15" hidden="false" customHeight="true" outlineLevel="0" collapsed="false">
      <c r="A14" s="7" t="n">
        <v>45200</v>
      </c>
      <c r="B14" s="8" t="n">
        <f aca="false">SUMIFS(revenue_data!$C:$C,revenue_data!$A:$A,$A14,revenue_data!$B:$B,B$4)</f>
        <v>212570.29</v>
      </c>
      <c r="C14" s="8" t="n">
        <f aca="false">SUMIFS(revenue_data!$C:$C,revenue_data!$A:$A,$A14,revenue_data!$B:$B,C$4)</f>
        <v>149368.1</v>
      </c>
      <c r="D14" s="8" t="n">
        <f aca="false">SUMIFS(revenue_data!$C:$C,revenue_data!$A:$A,$A14,revenue_data!$B:$B,D$4)</f>
        <v>174825.46</v>
      </c>
      <c r="E14" s="8" t="n">
        <f aca="false">SUMIFS(revenue_data!$C:$C,revenue_data!$A:$A,$A14,revenue_data!$B:$B,E$4)</f>
        <v>152075.51</v>
      </c>
      <c r="F14" s="8" t="n">
        <f aca="false">SUMIFS(revenue_data!$C:$C,revenue_data!$A:$A,$A14,revenue_data!$B:$B,F$4)</f>
        <v>83275.1</v>
      </c>
      <c r="G14" s="8" t="n">
        <f aca="false">SUMIFS(revenue_data!$C:$C,revenue_data!$A:$A,$A14,revenue_data!$B:$B,G$4)</f>
        <v>100999.33</v>
      </c>
      <c r="H14" s="8" t="n">
        <f aca="false">SUM(B14:G14)</f>
        <v>873113.79</v>
      </c>
    </row>
    <row r="15" customFormat="false" ht="15" hidden="false" customHeight="true" outlineLevel="0" collapsed="false">
      <c r="A15" s="7" t="n">
        <v>45231</v>
      </c>
      <c r="B15" s="8" t="n">
        <f aca="false">SUMIFS(revenue_data!$C:$C,revenue_data!$A:$A,$A15,revenue_data!$B:$B,B$4)</f>
        <v>232716.41</v>
      </c>
      <c r="C15" s="8" t="n">
        <f aca="false">SUMIFS(revenue_data!$C:$C,revenue_data!$A:$A,$A15,revenue_data!$B:$B,C$4)</f>
        <v>155991.52</v>
      </c>
      <c r="D15" s="8" t="n">
        <f aca="false">SUMIFS(revenue_data!$C:$C,revenue_data!$A:$A,$A15,revenue_data!$B:$B,D$4)</f>
        <v>194491.6</v>
      </c>
      <c r="E15" s="8" t="n">
        <f aca="false">SUMIFS(revenue_data!$C:$C,revenue_data!$A:$A,$A15,revenue_data!$B:$B,E$4)</f>
        <v>166946.95</v>
      </c>
      <c r="F15" s="8" t="n">
        <f aca="false">SUMIFS(revenue_data!$C:$C,revenue_data!$A:$A,$A15,revenue_data!$B:$B,F$4)</f>
        <v>95581.87</v>
      </c>
      <c r="G15" s="8" t="n">
        <f aca="false">SUMIFS(revenue_data!$C:$C,revenue_data!$A:$A,$A15,revenue_data!$B:$B,G$4)</f>
        <v>123431.84</v>
      </c>
      <c r="H15" s="8" t="n">
        <f aca="false">SUM(B15:G15)</f>
        <v>969160.19</v>
      </c>
    </row>
    <row r="16" customFormat="false" ht="15" hidden="false" customHeight="true" outlineLevel="0" collapsed="false">
      <c r="A16" s="7" t="n">
        <v>45261</v>
      </c>
      <c r="B16" s="8" t="n">
        <f aca="false">SUMIFS(revenue_data!$C:$C,revenue_data!$A:$A,$A16,revenue_data!$B:$B,B$4)</f>
        <v>243928.6</v>
      </c>
      <c r="C16" s="8" t="n">
        <f aca="false">SUMIFS(revenue_data!$C:$C,revenue_data!$A:$A,$A16,revenue_data!$B:$B,C$4)</f>
        <v>167717.28</v>
      </c>
      <c r="D16" s="8" t="n">
        <f aca="false">SUMIFS(revenue_data!$C:$C,revenue_data!$A:$A,$A16,revenue_data!$B:$B,D$4)</f>
        <v>206684.67</v>
      </c>
      <c r="E16" s="8" t="n">
        <f aca="false">SUMIFS(revenue_data!$C:$C,revenue_data!$A:$A,$A16,revenue_data!$B:$B,E$4)</f>
        <v>166146.95</v>
      </c>
      <c r="F16" s="8" t="n">
        <f aca="false">SUMIFS(revenue_data!$C:$C,revenue_data!$A:$A,$A16,revenue_data!$B:$B,F$4)</f>
        <v>98148.82</v>
      </c>
      <c r="G16" s="8" t="n">
        <f aca="false">SUMIFS(revenue_data!$C:$C,revenue_data!$A:$A,$A16,revenue_data!$B:$B,G$4)</f>
        <v>123400.33</v>
      </c>
      <c r="H16" s="8" t="n">
        <f aca="false">SUM(B16:G16)</f>
        <v>1006026.65</v>
      </c>
    </row>
    <row r="17" customFormat="false" ht="15" hidden="false" customHeight="true" outlineLevel="0" collapsed="false">
      <c r="A17" s="7" t="n">
        <v>45292</v>
      </c>
      <c r="B17" s="8" t="n">
        <f aca="false">SUMIFS(revenue_data!$C:$C,revenue_data!$A:$A,$A17,revenue_data!$B:$B,B$4)</f>
        <v>216835.79</v>
      </c>
      <c r="C17" s="8" t="n">
        <f aca="false">SUMIFS(revenue_data!$C:$C,revenue_data!$A:$A,$A17,revenue_data!$B:$B,C$4)</f>
        <v>151366.89</v>
      </c>
      <c r="D17" s="8" t="n">
        <f aca="false">SUMIFS(revenue_data!$C:$C,revenue_data!$A:$A,$A17,revenue_data!$B:$B,D$4)</f>
        <v>178538.26</v>
      </c>
      <c r="E17" s="8" t="n">
        <f aca="false">SUMIFS(revenue_data!$C:$C,revenue_data!$A:$A,$A17,revenue_data!$B:$B,E$4)</f>
        <v>156166.51</v>
      </c>
      <c r="F17" s="8" t="n">
        <f aca="false">SUMIFS(revenue_data!$C:$C,revenue_data!$A:$A,$A17,revenue_data!$B:$B,F$4)</f>
        <v>86926.65</v>
      </c>
      <c r="G17" s="8" t="n">
        <f aca="false">SUMIFS(revenue_data!$C:$C,revenue_data!$A:$A,$A17,revenue_data!$B:$B,G$4)</f>
        <v>113622.73</v>
      </c>
      <c r="H17" s="8" t="n">
        <f aca="false">SUM(B17:G17)</f>
        <v>903456.83</v>
      </c>
    </row>
    <row r="18" customFormat="false" ht="15" hidden="false" customHeight="true" outlineLevel="0" collapsed="false">
      <c r="A18" s="7" t="n">
        <v>45323</v>
      </c>
      <c r="B18" s="8" t="n">
        <f aca="false">SUMIFS(revenue_data!$C:$C,revenue_data!$A:$A,$A18,revenue_data!$B:$B,B$4)</f>
        <v>218957.66</v>
      </c>
      <c r="C18" s="8" t="n">
        <f aca="false">SUMIFS(revenue_data!$C:$C,revenue_data!$A:$A,$A18,revenue_data!$B:$B,C$4)</f>
        <v>148641.18</v>
      </c>
      <c r="D18" s="8" t="n">
        <f aca="false">SUMIFS(revenue_data!$C:$C,revenue_data!$A:$A,$A18,revenue_data!$B:$B,D$4)</f>
        <v>180481.26</v>
      </c>
      <c r="E18" s="8" t="n">
        <f aca="false">SUMIFS(revenue_data!$C:$C,revenue_data!$A:$A,$A18,revenue_data!$B:$B,E$4)</f>
        <v>149412.87</v>
      </c>
      <c r="F18" s="8" t="n">
        <f aca="false">SUMIFS(revenue_data!$C:$C,revenue_data!$A:$A,$A18,revenue_data!$B:$B,F$4)</f>
        <v>83706.08</v>
      </c>
      <c r="G18" s="8" t="n">
        <f aca="false">SUMIFS(revenue_data!$C:$C,revenue_data!$A:$A,$A18,revenue_data!$B:$B,G$4)</f>
        <v>109357.75</v>
      </c>
      <c r="H18" s="8" t="n">
        <f aca="false">SUM(B18:G18)</f>
        <v>890556.8</v>
      </c>
    </row>
    <row r="19" customFormat="false" ht="15" hidden="false" customHeight="true" outlineLevel="0" collapsed="false">
      <c r="A19" s="7" t="n">
        <v>45352</v>
      </c>
      <c r="B19" s="8" t="n">
        <f aca="false">SUMIFS(revenue_data!$C:$C,revenue_data!$A:$A,$A19,revenue_data!$B:$B,B$4)</f>
        <v>230314.05</v>
      </c>
      <c r="C19" s="8" t="n">
        <f aca="false">SUMIFS(revenue_data!$C:$C,revenue_data!$A:$A,$A19,revenue_data!$B:$B,C$4)</f>
        <v>163354.77</v>
      </c>
      <c r="D19" s="8" t="n">
        <f aca="false">SUMIFS(revenue_data!$C:$C,revenue_data!$A:$A,$A19,revenue_data!$B:$B,D$4)</f>
        <v>177548.89</v>
      </c>
      <c r="E19" s="8" t="n">
        <f aca="false">SUMIFS(revenue_data!$C:$C,revenue_data!$A:$A,$A19,revenue_data!$B:$B,E$4)</f>
        <v>160458.5</v>
      </c>
      <c r="F19" s="8" t="n">
        <f aca="false">SUMIFS(revenue_data!$C:$C,revenue_data!$A:$A,$A19,revenue_data!$B:$B,F$4)</f>
        <v>88446.64</v>
      </c>
      <c r="G19" s="8" t="n">
        <f aca="false">SUMIFS(revenue_data!$C:$C,revenue_data!$A:$A,$A19,revenue_data!$B:$B,G$4)</f>
        <v>114372.87</v>
      </c>
      <c r="H19" s="8" t="n">
        <f aca="false">SUM(B19:G19)</f>
        <v>934495.72</v>
      </c>
    </row>
    <row r="20" customFormat="false" ht="15" hidden="false" customHeight="true" outlineLevel="0" collapsed="false">
      <c r="A20" s="7" t="n">
        <v>45383</v>
      </c>
      <c r="B20" s="8" t="n">
        <f aca="false">SUMIFS(revenue_data!$C:$C,revenue_data!$A:$A,$A20,revenue_data!$B:$B,B$4)</f>
        <v>243344.7</v>
      </c>
      <c r="C20" s="8" t="n">
        <f aca="false">SUMIFS(revenue_data!$C:$C,revenue_data!$A:$A,$A20,revenue_data!$B:$B,C$4)</f>
        <v>165132.88</v>
      </c>
      <c r="D20" s="8" t="n">
        <f aca="false">SUMIFS(revenue_data!$C:$C,revenue_data!$A:$A,$A20,revenue_data!$B:$B,D$4)</f>
        <v>201693.01</v>
      </c>
      <c r="E20" s="8" t="n">
        <f aca="false">SUMIFS(revenue_data!$C:$C,revenue_data!$A:$A,$A20,revenue_data!$B:$B,E$4)</f>
        <v>167560.44</v>
      </c>
      <c r="F20" s="8" t="n">
        <f aca="false">SUMIFS(revenue_data!$C:$C,revenue_data!$A:$A,$A20,revenue_data!$B:$B,F$4)</f>
        <v>92550.5</v>
      </c>
      <c r="G20" s="8" t="n">
        <f aca="false">SUMIFS(revenue_data!$C:$C,revenue_data!$A:$A,$A20,revenue_data!$B:$B,G$4)</f>
        <v>119586.82</v>
      </c>
      <c r="H20" s="8" t="n">
        <f aca="false">SUM(B20:G20)</f>
        <v>989868.35</v>
      </c>
    </row>
    <row r="21" customFormat="false" ht="15" hidden="false" customHeight="true" outlineLevel="0" collapsed="false">
      <c r="A21" s="7" t="n">
        <v>45413</v>
      </c>
      <c r="B21" s="8" t="n">
        <f aca="false">SUMIFS(revenue_data!$C:$C,revenue_data!$A:$A,$A21,revenue_data!$B:$B,B$4)</f>
        <v>232250.34</v>
      </c>
      <c r="C21" s="8" t="n">
        <f aca="false">SUMIFS(revenue_data!$C:$C,revenue_data!$A:$A,$A21,revenue_data!$B:$B,C$4)</f>
        <v>163083.7</v>
      </c>
      <c r="D21" s="8" t="n">
        <f aca="false">SUMIFS(revenue_data!$C:$C,revenue_data!$A:$A,$A21,revenue_data!$B:$B,D$4)</f>
        <v>202003.08</v>
      </c>
      <c r="E21" s="8" t="n">
        <f aca="false">SUMIFS(revenue_data!$C:$C,revenue_data!$A:$A,$A21,revenue_data!$B:$B,E$4)</f>
        <v>168030.34</v>
      </c>
      <c r="F21" s="8" t="n">
        <f aca="false">SUMIFS(revenue_data!$C:$C,revenue_data!$A:$A,$A21,revenue_data!$B:$B,F$4)</f>
        <v>91217.05</v>
      </c>
      <c r="G21" s="8" t="n">
        <f aca="false">SUMIFS(revenue_data!$C:$C,revenue_data!$A:$A,$A21,revenue_data!$B:$B,G$4)</f>
        <v>119310.42</v>
      </c>
      <c r="H21" s="8" t="n">
        <f aca="false">SUM(B21:G21)</f>
        <v>975894.93</v>
      </c>
    </row>
    <row r="22" customFormat="false" ht="15" hidden="false" customHeight="true" outlineLevel="0" collapsed="false">
      <c r="A22" s="7" t="n">
        <v>45444</v>
      </c>
      <c r="B22" s="8" t="n">
        <f aca="false">SUMIFS(revenue_data!$C:$C,revenue_data!$A:$A,$A22,revenue_data!$B:$B,B$4)</f>
        <v>244048.62</v>
      </c>
      <c r="C22" s="8" t="n">
        <f aca="false">SUMIFS(revenue_data!$C:$C,revenue_data!$A:$A,$A22,revenue_data!$B:$B,C$4)</f>
        <v>170310.9</v>
      </c>
      <c r="D22" s="8" t="n">
        <f aca="false">SUMIFS(revenue_data!$C:$C,revenue_data!$A:$A,$A22,revenue_data!$B:$B,D$4)</f>
        <v>208096.3</v>
      </c>
      <c r="E22" s="8" t="n">
        <f aca="false">SUMIFS(revenue_data!$C:$C,revenue_data!$A:$A,$A22,revenue_data!$B:$B,E$4)</f>
        <v>169051.85</v>
      </c>
      <c r="F22" s="8" t="n">
        <f aca="false">SUMIFS(revenue_data!$C:$C,revenue_data!$A:$A,$A22,revenue_data!$B:$B,F$4)</f>
        <v>67862.43</v>
      </c>
      <c r="G22" s="8" t="n">
        <f aca="false">SUMIFS(revenue_data!$C:$C,revenue_data!$A:$A,$A22,revenue_data!$B:$B,G$4)</f>
        <v>120109.64</v>
      </c>
      <c r="H22" s="8" t="n">
        <f aca="false">SUM(B22:G22)</f>
        <v>979479.74</v>
      </c>
    </row>
    <row r="23" customFormat="false" ht="15" hidden="false" customHeight="true" outlineLevel="0" collapsed="false">
      <c r="A23" s="7" t="n">
        <v>45474</v>
      </c>
      <c r="B23" s="8" t="n">
        <f aca="false">SUMIFS(revenue_data!$C:$C,revenue_data!$A:$A,$A23,revenue_data!$B:$B,B$4)</f>
        <v>249081.42</v>
      </c>
      <c r="C23" s="8" t="n">
        <f aca="false">SUMIFS(revenue_data!$C:$C,revenue_data!$A:$A,$A23,revenue_data!$B:$B,C$4)</f>
        <v>180743.18</v>
      </c>
      <c r="D23" s="8" t="n">
        <f aca="false">SUMIFS(revenue_data!$C:$C,revenue_data!$A:$A,$A23,revenue_data!$B:$B,D$4)</f>
        <v>222325.22</v>
      </c>
      <c r="E23" s="8" t="n">
        <f aca="false">SUMIFS(revenue_data!$C:$C,revenue_data!$A:$A,$A23,revenue_data!$B:$B,E$4)</f>
        <v>166807.93</v>
      </c>
      <c r="F23" s="8" t="n">
        <f aca="false">SUMIFS(revenue_data!$C:$C,revenue_data!$A:$A,$A23,revenue_data!$B:$B,F$4)</f>
        <v>99249.12</v>
      </c>
      <c r="G23" s="8" t="n">
        <f aca="false">SUMIFS(revenue_data!$C:$C,revenue_data!$A:$A,$A23,revenue_data!$B:$B,G$4)</f>
        <v>129257.62</v>
      </c>
      <c r="H23" s="8" t="n">
        <f aca="false">SUM(B23:G23)</f>
        <v>1047464.49</v>
      </c>
    </row>
    <row r="24" customFormat="false" ht="15" hidden="false" customHeight="true" outlineLevel="0" collapsed="false">
      <c r="A24" s="7" t="n">
        <v>45505</v>
      </c>
      <c r="B24" s="8" t="n">
        <f aca="false">SUMIFS(revenue_data!$C:$C,revenue_data!$A:$A,$A24,revenue_data!$B:$B,B$4)</f>
        <v>251464.14</v>
      </c>
      <c r="C24" s="8" t="n">
        <f aca="false">SUMIFS(revenue_data!$C:$C,revenue_data!$A:$A,$A24,revenue_data!$B:$B,C$4)</f>
        <v>178240.8</v>
      </c>
      <c r="D24" s="8" t="n">
        <f aca="false">SUMIFS(revenue_data!$C:$C,revenue_data!$A:$A,$A24,revenue_data!$B:$B,D$4)</f>
        <v>214754.95</v>
      </c>
      <c r="E24" s="8" t="n">
        <f aca="false">SUMIFS(revenue_data!$C:$C,revenue_data!$A:$A,$A24,revenue_data!$B:$B,E$4)</f>
        <v>173614.21</v>
      </c>
      <c r="F24" s="8" t="n">
        <f aca="false">SUMIFS(revenue_data!$C:$C,revenue_data!$A:$A,$A24,revenue_data!$B:$B,F$4)</f>
        <v>103763.83</v>
      </c>
      <c r="G24" s="8" t="n">
        <f aca="false">SUMIFS(revenue_data!$C:$C,revenue_data!$A:$A,$A24,revenue_data!$B:$B,G$4)</f>
        <v>125429.12</v>
      </c>
      <c r="H24" s="8" t="n">
        <f aca="false">SUM(B24:G24)</f>
        <v>1047267.05</v>
      </c>
    </row>
    <row r="25" customFormat="false" ht="15" hidden="false" customHeight="true" outlineLevel="0" collapsed="false">
      <c r="A25" s="7" t="n">
        <v>45536</v>
      </c>
      <c r="B25" s="8" t="n">
        <f aca="false">SUMIFS(revenue_data!$C:$C,revenue_data!$A:$A,$A25,revenue_data!$B:$B,B$4)</f>
        <v>265479.87</v>
      </c>
      <c r="C25" s="8" t="n">
        <f aca="false">SUMIFS(revenue_data!$C:$C,revenue_data!$A:$A,$A25,revenue_data!$B:$B,C$4)</f>
        <v>181217.01</v>
      </c>
      <c r="D25" s="8" t="n">
        <f aca="false">SUMIFS(revenue_data!$C:$C,revenue_data!$A:$A,$A25,revenue_data!$B:$B,D$4)</f>
        <v>220200.41</v>
      </c>
      <c r="E25" s="8" t="n">
        <f aca="false">SUMIFS(revenue_data!$C:$C,revenue_data!$A:$A,$A25,revenue_data!$B:$B,E$4)</f>
        <v>169879.89</v>
      </c>
      <c r="F25" s="8" t="n">
        <f aca="false">SUMIFS(revenue_data!$C:$C,revenue_data!$A:$A,$A25,revenue_data!$B:$B,F$4)</f>
        <v>102960.43</v>
      </c>
      <c r="G25" s="8" t="n">
        <f aca="false">SUMIFS(revenue_data!$C:$C,revenue_data!$A:$A,$A25,revenue_data!$B:$B,G$4)</f>
        <v>130554.76</v>
      </c>
      <c r="H25" s="8" t="n">
        <f aca="false">SUM(B25:G25)</f>
        <v>1070292.37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8" min="2" style="1" width="11"/>
  </cols>
  <sheetData>
    <row r="1" customFormat="false" ht="17.25" hidden="false" customHeight="true" outlineLevel="0" collapsed="false">
      <c r="A1" s="5" t="s">
        <v>13</v>
      </c>
    </row>
    <row r="2" customFormat="false" ht="15" hidden="false" customHeight="true" outlineLevel="0" collapsed="false">
      <c r="A2" s="6" t="s">
        <v>14</v>
      </c>
    </row>
    <row r="4" customFormat="false" ht="15" hidden="false" customHeight="true" outlineLevel="0" collapsed="false">
      <c r="A4" s="2" t="s">
        <v>11</v>
      </c>
      <c r="B4" s="2" t="s">
        <v>3</v>
      </c>
      <c r="C4" s="2" t="s">
        <v>6</v>
      </c>
      <c r="D4" s="2" t="s">
        <v>5</v>
      </c>
      <c r="E4" s="2" t="s">
        <v>4</v>
      </c>
      <c r="F4" s="2" t="s">
        <v>7</v>
      </c>
      <c r="G4" s="2" t="s">
        <v>8</v>
      </c>
      <c r="H4" s="2" t="s">
        <v>12</v>
      </c>
    </row>
    <row r="5" customFormat="false" ht="15" hidden="false" customHeight="true" outlineLevel="0" collapsed="false">
      <c r="A5" s="7" t="n">
        <f aca="false">'Monthly by Country'!A5</f>
        <v>44927</v>
      </c>
      <c r="B5" s="9"/>
      <c r="C5" s="9"/>
      <c r="D5" s="9"/>
      <c r="E5" s="9"/>
      <c r="F5" s="9"/>
      <c r="G5" s="9"/>
      <c r="H5" s="9"/>
    </row>
    <row r="6" customFormat="false" ht="15" hidden="false" customHeight="true" outlineLevel="0" collapsed="false">
      <c r="A6" s="7" t="n">
        <f aca="false">'Monthly by Country'!A6</f>
        <v>44958</v>
      </c>
      <c r="B6" s="9" t="n">
        <f aca="false">'Monthly by Country'!B6/'Monthly by Country'!B5-1</f>
        <v>-0.0829752581419645</v>
      </c>
      <c r="C6" s="9" t="n">
        <f aca="false">'Monthly by Country'!C6/'Monthly by Country'!C5-1</f>
        <v>-0.0462330695732646</v>
      </c>
      <c r="D6" s="9" t="n">
        <f aca="false">'Monthly by Country'!D6/'Monthly by Country'!D5-1</f>
        <v>-0.0362049107337374</v>
      </c>
      <c r="E6" s="9" t="n">
        <f aca="false">'Monthly by Country'!E6/'Monthly by Country'!E5-1</f>
        <v>-0.102767347718539</v>
      </c>
      <c r="F6" s="9" t="n">
        <f aca="false">'Monthly by Country'!F6/'Monthly by Country'!F5-1</f>
        <v>-0.0992866227695065</v>
      </c>
      <c r="G6" s="9" t="n">
        <f aca="false">'Monthly by Country'!G6/'Monthly by Country'!G5-1</f>
        <v>0.0195586769509852</v>
      </c>
      <c r="H6" s="9" t="n">
        <f aca="false">'Monthly by Country'!H6/'Monthly by Country'!H5-1</f>
        <v>-0.0616657581140828</v>
      </c>
    </row>
    <row r="7" customFormat="false" ht="15" hidden="false" customHeight="true" outlineLevel="0" collapsed="false">
      <c r="A7" s="7" t="n">
        <f aca="false">'Monthly by Country'!A7</f>
        <v>44986</v>
      </c>
      <c r="B7" s="9" t="n">
        <f aca="false">'Monthly by Country'!B7/'Monthly by Country'!B6-1</f>
        <v>0.0623744487209257</v>
      </c>
      <c r="C7" s="9" t="n">
        <f aca="false">'Monthly by Country'!C7/'Monthly by Country'!C6-1</f>
        <v>0.0930723614754929</v>
      </c>
      <c r="D7" s="9" t="n">
        <f aca="false">'Monthly by Country'!D7/'Monthly by Country'!D6-1</f>
        <v>0.0489645594309145</v>
      </c>
      <c r="E7" s="9" t="n">
        <f aca="false">'Monthly by Country'!E7/'Monthly by Country'!E6-1</f>
        <v>0.0895128568453083</v>
      </c>
      <c r="F7" s="9" t="n">
        <f aca="false">'Monthly by Country'!F7/'Monthly by Country'!F6-1</f>
        <v>0.10412608185974</v>
      </c>
      <c r="G7" s="9" t="n">
        <f aca="false">'Monthly by Country'!G7/'Monthly by Country'!G6-1</f>
        <v>0.0724684309342043</v>
      </c>
      <c r="H7" s="9" t="n">
        <f aca="false">'Monthly by Country'!H7/'Monthly by Country'!H6-1</f>
        <v>0.0746718291173045</v>
      </c>
    </row>
    <row r="8" customFormat="false" ht="15" hidden="false" customHeight="true" outlineLevel="0" collapsed="false">
      <c r="A8" s="7" t="n">
        <f aca="false">'Monthly by Country'!A8</f>
        <v>45017</v>
      </c>
      <c r="B8" s="9" t="n">
        <f aca="false">'Monthly by Country'!B8/'Monthly by Country'!B7-1</f>
        <v>0.0544846822002216</v>
      </c>
      <c r="C8" s="9" t="n">
        <f aca="false">'Monthly by Country'!C8/'Monthly by Country'!C7-1</f>
        <v>0.0326934982934934</v>
      </c>
      <c r="D8" s="9" t="n">
        <f aca="false">'Monthly by Country'!D8/'Monthly by Country'!D7-1</f>
        <v>0.00546464122275481</v>
      </c>
      <c r="E8" s="9" t="n">
        <f aca="false">'Monthly by Country'!E8/'Monthly by Country'!E7-1</f>
        <v>0.0243691386399012</v>
      </c>
      <c r="F8" s="9" t="n">
        <f aca="false">'Monthly by Country'!F8/'Monthly by Country'!F7-1</f>
        <v>-0.0165416626507006</v>
      </c>
      <c r="G8" s="9" t="n">
        <f aca="false">'Monthly by Country'!G8/'Monthly by Country'!G7-1</f>
        <v>-0.0268016332651229</v>
      </c>
      <c r="H8" s="9" t="n">
        <f aca="false">'Monthly by Country'!H8/'Monthly by Country'!H7-1</f>
        <v>0.0187891889412866</v>
      </c>
    </row>
    <row r="9" customFormat="false" ht="15" hidden="false" customHeight="true" outlineLevel="0" collapsed="false">
      <c r="A9" s="7" t="n">
        <f aca="false">'Monthly by Country'!A9</f>
        <v>45047</v>
      </c>
      <c r="B9" s="9" t="n">
        <f aca="false">'Monthly by Country'!B9/'Monthly by Country'!B8-1</f>
        <v>0.0124122089734655</v>
      </c>
      <c r="C9" s="9" t="n">
        <f aca="false">'Monthly by Country'!C9/'Monthly by Country'!C8-1</f>
        <v>0.0221662603809445</v>
      </c>
      <c r="D9" s="9" t="n">
        <f aca="false">'Monthly by Country'!D9/'Monthly by Country'!D8-1</f>
        <v>0.123521002300507</v>
      </c>
      <c r="E9" s="9" t="n">
        <f aca="false">'Monthly by Country'!E9/'Monthly by Country'!E8-1</f>
        <v>0.0383113647271414</v>
      </c>
      <c r="F9" s="9" t="n">
        <f aca="false">'Monthly by Country'!F9/'Monthly by Country'!F8-1</f>
        <v>0.0656308850054324</v>
      </c>
      <c r="G9" s="9" t="n">
        <f aca="false">'Monthly by Country'!G9/'Monthly by Country'!G8-1</f>
        <v>0.0500618944110423</v>
      </c>
      <c r="H9" s="9" t="n">
        <f aca="false">'Monthly by Country'!H9/'Monthly by Country'!H8-1</f>
        <v>0.0493194856218715</v>
      </c>
    </row>
    <row r="10" customFormat="false" ht="15" hidden="false" customHeight="true" outlineLevel="0" collapsed="false">
      <c r="A10" s="7" t="n">
        <f aca="false">'Monthly by Country'!A10</f>
        <v>45078</v>
      </c>
      <c r="B10" s="9" t="n">
        <f aca="false">'Monthly by Country'!B10/'Monthly by Country'!B9-1</f>
        <v>0.0664708236604203</v>
      </c>
      <c r="C10" s="9" t="n">
        <f aca="false">'Monthly by Country'!C10/'Monthly by Country'!C9-1</f>
        <v>0.011974458648905</v>
      </c>
      <c r="D10" s="9" t="n">
        <f aca="false">'Monthly by Country'!D10/'Monthly by Country'!D9-1</f>
        <v>-0.0407960138737893</v>
      </c>
      <c r="E10" s="9" t="n">
        <f aca="false">'Monthly by Country'!E10/'Monthly by Country'!E9-1</f>
        <v>0.0103753530754749</v>
      </c>
      <c r="F10" s="9" t="n">
        <f aca="false">'Monthly by Country'!F10/'Monthly by Country'!F9-1</f>
        <v>-0.00678001229267444</v>
      </c>
      <c r="G10" s="9" t="n">
        <f aca="false">'Monthly by Country'!G10/'Monthly by Country'!G9-1</f>
        <v>0.06451051761864</v>
      </c>
      <c r="H10" s="9" t="n">
        <f aca="false">'Monthly by Country'!H10/'Monthly by Country'!H9-1</f>
        <v>0.018892526403206</v>
      </c>
    </row>
    <row r="11" customFormat="false" ht="15" hidden="false" customHeight="true" outlineLevel="0" collapsed="false">
      <c r="A11" s="7" t="n">
        <f aca="false">'Monthly by Country'!A11</f>
        <v>45108</v>
      </c>
      <c r="B11" s="9" t="n">
        <f aca="false">'Monthly by Country'!B11/'Monthly by Country'!B10-1</f>
        <v>-0.0268957928210445</v>
      </c>
      <c r="C11" s="9" t="n">
        <f aca="false">'Monthly by Country'!C11/'Monthly by Country'!C10-1</f>
        <v>0.0476798521409321</v>
      </c>
      <c r="D11" s="9" t="n">
        <f aca="false">'Monthly by Country'!D11/'Monthly by Country'!D10-1</f>
        <v>0.0415747681507936</v>
      </c>
      <c r="E11" s="9" t="n">
        <f aca="false">'Monthly by Country'!E11/'Monthly by Country'!E10-1</f>
        <v>-0.0026705386325433</v>
      </c>
      <c r="F11" s="9" t="n">
        <f aca="false">'Monthly by Country'!F11/'Monthly by Country'!F10-1</f>
        <v>0.0524678642352214</v>
      </c>
      <c r="G11" s="9" t="n">
        <f aca="false">'Monthly by Country'!G11/'Monthly by Country'!G10-1</f>
        <v>-0.0180833296912112</v>
      </c>
      <c r="H11" s="9" t="n">
        <f aca="false">'Monthly by Country'!H11/'Monthly by Country'!H10-1</f>
        <v>0.0106263573392031</v>
      </c>
    </row>
    <row r="12" customFormat="false" ht="15" hidden="false" customHeight="true" outlineLevel="0" collapsed="false">
      <c r="A12" s="7" t="n">
        <f aca="false">'Monthly by Country'!A12</f>
        <v>45139</v>
      </c>
      <c r="B12" s="9" t="n">
        <f aca="false">'Monthly by Country'!B12/'Monthly by Country'!B11-1</f>
        <v>0.0187455902514058</v>
      </c>
      <c r="C12" s="9" t="n">
        <f aca="false">'Monthly by Country'!C12/'Monthly by Country'!C11-1</f>
        <v>0.0302685166800409</v>
      </c>
      <c r="D12" s="9" t="n">
        <f aca="false">'Monthly by Country'!D12/'Monthly by Country'!D11-1</f>
        <v>0.0180153992536121</v>
      </c>
      <c r="E12" s="9" t="n">
        <f aca="false">'Monthly by Country'!E12/'Monthly by Country'!E11-1</f>
        <v>-0.000463033407619884</v>
      </c>
      <c r="F12" s="9" t="n">
        <f aca="false">'Monthly by Country'!F12/'Monthly by Country'!F11-1</f>
        <v>-0.013269870388033</v>
      </c>
      <c r="G12" s="9" t="n">
        <f aca="false">'Monthly by Country'!G12/'Monthly by Country'!G11-1</f>
        <v>0.0368593056048883</v>
      </c>
      <c r="H12" s="9" t="n">
        <f aca="false">'Monthly by Country'!H12/'Monthly by Country'!H11-1</f>
        <v>0.0161684446147432</v>
      </c>
    </row>
    <row r="13" customFormat="false" ht="15" hidden="false" customHeight="true" outlineLevel="0" collapsed="false">
      <c r="A13" s="7" t="n">
        <f aca="false">'Monthly by Country'!A13</f>
        <v>45170</v>
      </c>
      <c r="B13" s="9" t="n">
        <f aca="false">'Monthly by Country'!B13/'Monthly by Country'!B12-1</f>
        <v>-0.0188854237155158</v>
      </c>
      <c r="C13" s="9" t="n">
        <f aca="false">'Monthly by Country'!C13/'Monthly by Country'!C12-1</f>
        <v>0.0378101048729769</v>
      </c>
      <c r="D13" s="9" t="n">
        <f aca="false">'Monthly by Country'!D13/'Monthly by Country'!D12-1</f>
        <v>0.0659037688352897</v>
      </c>
      <c r="E13" s="9" t="n">
        <f aca="false">'Monthly by Country'!E13/'Monthly by Country'!E12-1</f>
        <v>0.0144376025362247</v>
      </c>
      <c r="F13" s="9" t="n">
        <f aca="false">'Monthly by Country'!F13/'Monthly by Country'!F12-1</f>
        <v>0.015514277860027</v>
      </c>
      <c r="G13" s="9" t="n">
        <f aca="false">'Monthly by Country'!G13/'Monthly by Country'!G12-1</f>
        <v>-0.0164193190336664</v>
      </c>
      <c r="H13" s="9" t="n">
        <f aca="false">'Monthly by Country'!H13/'Monthly by Country'!H12-1</f>
        <v>0.0163431837084485</v>
      </c>
    </row>
    <row r="14" customFormat="false" ht="15" hidden="false" customHeight="true" outlineLevel="0" collapsed="false">
      <c r="A14" s="7" t="n">
        <f aca="false">'Monthly by Country'!A14</f>
        <v>45200</v>
      </c>
      <c r="B14" s="9" t="n">
        <f aca="false">'Monthly by Country'!B14/'Monthly by Country'!B13-1</f>
        <v>0.0624125673684202</v>
      </c>
      <c r="C14" s="9" t="n">
        <f aca="false">'Monthly by Country'!C14/'Monthly by Country'!C13-1</f>
        <v>0.0651987365784998</v>
      </c>
      <c r="D14" s="9" t="n">
        <f aca="false">'Monthly by Country'!D14/'Monthly by Country'!D13-1</f>
        <v>0.00694419605689012</v>
      </c>
      <c r="E14" s="9" t="n">
        <f aca="false">'Monthly by Country'!E14/'Monthly by Country'!E13-1</f>
        <v>0.0454015889088473</v>
      </c>
      <c r="F14" s="9" t="n">
        <f aca="false">'Monthly by Country'!F14/'Monthly by Country'!F13-1</f>
        <v>0.029808833578888</v>
      </c>
      <c r="G14" s="9" t="n">
        <f aca="false">'Monthly by Country'!G14/'Monthly by Country'!G13-1</f>
        <v>-0.0247603405057376</v>
      </c>
      <c r="H14" s="9" t="n">
        <f aca="false">'Monthly by Country'!H14/'Monthly by Country'!H13-1</f>
        <v>0.0347069551402899</v>
      </c>
    </row>
    <row r="15" customFormat="false" ht="15" hidden="false" customHeight="true" outlineLevel="0" collapsed="false">
      <c r="A15" s="7" t="n">
        <f aca="false">'Monthly by Country'!A15</f>
        <v>45231</v>
      </c>
      <c r="B15" s="9" t="n">
        <f aca="false">'Monthly by Country'!B15/'Monthly by Country'!B14-1</f>
        <v>0.094773921604943</v>
      </c>
      <c r="C15" s="9" t="n">
        <f aca="false">'Monthly by Country'!C15/'Monthly by Country'!C14-1</f>
        <v>0.0443429353389377</v>
      </c>
      <c r="D15" s="9" t="n">
        <f aca="false">'Monthly by Country'!D15/'Monthly by Country'!D14-1</f>
        <v>0.112490137306088</v>
      </c>
      <c r="E15" s="9" t="n">
        <f aca="false">'Monthly by Country'!E15/'Monthly by Country'!E14-1</f>
        <v>0.0977898413755114</v>
      </c>
      <c r="F15" s="9" t="n">
        <f aca="false">'Monthly by Country'!F15/'Monthly by Country'!F14-1</f>
        <v>0.147784511816857</v>
      </c>
      <c r="G15" s="9" t="n">
        <f aca="false">'Monthly by Country'!G15/'Monthly by Country'!G14-1</f>
        <v>0.222105532779277</v>
      </c>
      <c r="H15" s="9" t="n">
        <f aca="false">'Monthly by Country'!H15/'Monthly by Country'!H14-1</f>
        <v>0.110004447415726</v>
      </c>
    </row>
    <row r="16" customFormat="false" ht="15" hidden="false" customHeight="true" outlineLevel="0" collapsed="false">
      <c r="A16" s="7" t="n">
        <f aca="false">'Monthly by Country'!A16</f>
        <v>45261</v>
      </c>
      <c r="B16" s="9" t="n">
        <f aca="false">'Monthly by Country'!B16/'Monthly by Country'!B15-1</f>
        <v>0.0481796277280147</v>
      </c>
      <c r="C16" s="9" t="n">
        <f aca="false">'Monthly by Country'!C16/'Monthly by Country'!C15-1</f>
        <v>0.0751692143265224</v>
      </c>
      <c r="D16" s="9" t="n">
        <f aca="false">'Monthly by Country'!D16/'Monthly by Country'!D15-1</f>
        <v>0.0626920134339992</v>
      </c>
      <c r="E16" s="9" t="n">
        <f aca="false">'Monthly by Country'!E16/'Monthly by Country'!E15-1</f>
        <v>-0.00479194139216077</v>
      </c>
      <c r="F16" s="9" t="n">
        <f aca="false">'Monthly by Country'!F16/'Monthly by Country'!F15-1</f>
        <v>0.0268560345178432</v>
      </c>
      <c r="G16" s="9" t="n">
        <f aca="false">'Monthly by Country'!G16/'Monthly by Country'!G15-1</f>
        <v>-0.000255282591590578</v>
      </c>
      <c r="H16" s="9" t="n">
        <f aca="false">'Monthly by Country'!H16/'Monthly by Country'!H15-1</f>
        <v>0.0380395938467097</v>
      </c>
    </row>
    <row r="17" customFormat="false" ht="15" hidden="false" customHeight="true" outlineLevel="0" collapsed="false">
      <c r="A17" s="7" t="n">
        <f aca="false">'Monthly by Country'!A17</f>
        <v>45292</v>
      </c>
      <c r="B17" s="9" t="n">
        <f aca="false">'Monthly by Country'!B17/'Monthly by Country'!B16-1</f>
        <v>-0.111068607781129</v>
      </c>
      <c r="C17" s="9" t="n">
        <f aca="false">'Monthly by Country'!C17/'Monthly by Country'!C16-1</f>
        <v>-0.0974878080541253</v>
      </c>
      <c r="D17" s="9" t="n">
        <f aca="false">'Monthly by Country'!D17/'Monthly by Country'!D16-1</f>
        <v>-0.136180443377828</v>
      </c>
      <c r="E17" s="9" t="n">
        <f aca="false">'Monthly by Country'!E17/'Monthly by Country'!E16-1</f>
        <v>-0.0600699561442446</v>
      </c>
      <c r="F17" s="9" t="n">
        <f aca="false">'Monthly by Country'!F17/'Monthly by Country'!F16-1</f>
        <v>-0.114338307887961</v>
      </c>
      <c r="G17" s="9" t="n">
        <f aca="false">'Monthly by Country'!G17/'Monthly by Country'!G16-1</f>
        <v>-0.0792347962116471</v>
      </c>
      <c r="H17" s="9" t="n">
        <f aca="false">'Monthly by Country'!H17/'Monthly by Country'!H16-1</f>
        <v>-0.101955370665379</v>
      </c>
    </row>
    <row r="18" customFormat="false" ht="15" hidden="false" customHeight="true" outlineLevel="0" collapsed="false">
      <c r="A18" s="7" t="n">
        <f aca="false">'Monthly by Country'!A18</f>
        <v>45323</v>
      </c>
      <c r="B18" s="9" t="n">
        <f aca="false">'Monthly by Country'!B18/'Monthly by Country'!B17-1</f>
        <v>0.00978560780948556</v>
      </c>
      <c r="C18" s="9" t="n">
        <f aca="false">'Monthly by Country'!C18/'Monthly by Country'!C17-1</f>
        <v>-0.0180073066177155</v>
      </c>
      <c r="D18" s="9" t="n">
        <f aca="false">'Monthly by Country'!D18/'Monthly by Country'!D17-1</f>
        <v>0.0108828214187817</v>
      </c>
      <c r="E18" s="9" t="n">
        <f aca="false">'Monthly by Country'!E18/'Monthly by Country'!E17-1</f>
        <v>-0.0432464041105869</v>
      </c>
      <c r="F18" s="9" t="n">
        <f aca="false">'Monthly by Country'!F18/'Monthly by Country'!F17-1</f>
        <v>-0.0370492823547208</v>
      </c>
      <c r="G18" s="9" t="n">
        <f aca="false">'Monthly by Country'!G18/'Monthly by Country'!G17-1</f>
        <v>-0.0375363274584232</v>
      </c>
      <c r="H18" s="9" t="n">
        <f aca="false">'Monthly by Country'!H18/'Monthly by Country'!H17-1</f>
        <v>-0.0142785239666626</v>
      </c>
    </row>
    <row r="19" customFormat="false" ht="15" hidden="false" customHeight="true" outlineLevel="0" collapsed="false">
      <c r="A19" s="7" t="n">
        <f aca="false">'Monthly by Country'!A19</f>
        <v>45352</v>
      </c>
      <c r="B19" s="9" t="n">
        <f aca="false">'Monthly by Country'!B19/'Monthly by Country'!B18-1</f>
        <v>0.0518656894670868</v>
      </c>
      <c r="C19" s="9" t="n">
        <f aca="false">'Monthly by Country'!C19/'Monthly by Country'!C18-1</f>
        <v>0.0989873062094906</v>
      </c>
      <c r="D19" s="9" t="n">
        <f aca="false">'Monthly by Country'!D19/'Monthly by Country'!D18-1</f>
        <v>-0.0162475040344908</v>
      </c>
      <c r="E19" s="9" t="n">
        <f aca="false">'Monthly by Country'!E19/'Monthly by Country'!E18-1</f>
        <v>0.073926897997475</v>
      </c>
      <c r="F19" s="9" t="n">
        <f aca="false">'Monthly by Country'!F19/'Monthly by Country'!F18-1</f>
        <v>0.0566334010623839</v>
      </c>
      <c r="G19" s="9" t="n">
        <f aca="false">'Monthly by Country'!G19/'Monthly by Country'!G18-1</f>
        <v>0.0458597584533331</v>
      </c>
      <c r="H19" s="9" t="n">
        <f aca="false">'Monthly by Country'!H19/'Monthly by Country'!H18-1</f>
        <v>0.0493387058523387</v>
      </c>
    </row>
    <row r="20" customFormat="false" ht="15" hidden="false" customHeight="true" outlineLevel="0" collapsed="false">
      <c r="A20" s="7" t="n">
        <f aca="false">'Monthly by Country'!A20</f>
        <v>45383</v>
      </c>
      <c r="B20" s="9" t="n">
        <f aca="false">'Monthly by Country'!B20/'Monthly by Country'!B19-1</f>
        <v>0.0565777467766297</v>
      </c>
      <c r="C20" s="9" t="n">
        <f aca="false">'Monthly by Country'!C20/'Monthly by Country'!C19-1</f>
        <v>0.010884959159748</v>
      </c>
      <c r="D20" s="9" t="n">
        <f aca="false">'Monthly by Country'!D20/'Monthly by Country'!D19-1</f>
        <v>0.135985755810695</v>
      </c>
      <c r="E20" s="9" t="n">
        <f aca="false">'Monthly by Country'!E20/'Monthly by Country'!E19-1</f>
        <v>0.0442602916018784</v>
      </c>
      <c r="F20" s="9" t="n">
        <f aca="false">'Monthly by Country'!F20/'Monthly by Country'!F19-1</f>
        <v>0.0463992753144722</v>
      </c>
      <c r="G20" s="9" t="n">
        <f aca="false">'Monthly by Country'!G20/'Monthly by Country'!G19-1</f>
        <v>0.0455872970574229</v>
      </c>
      <c r="H20" s="9" t="n">
        <f aca="false">'Monthly by Country'!H20/'Monthly by Country'!H19-1</f>
        <v>0.0592540220515938</v>
      </c>
    </row>
    <row r="21" customFormat="false" ht="15" hidden="false" customHeight="true" outlineLevel="0" collapsed="false">
      <c r="A21" s="7" t="n">
        <f aca="false">'Monthly by Country'!A21</f>
        <v>45413</v>
      </c>
      <c r="B21" s="9" t="n">
        <f aca="false">'Monthly by Country'!B21/'Monthly by Country'!B20-1</f>
        <v>-0.0455911306060909</v>
      </c>
      <c r="C21" s="9" t="n">
        <f aca="false">'Monthly by Country'!C21/'Monthly by Country'!C20-1</f>
        <v>-0.0124092791211537</v>
      </c>
      <c r="D21" s="9" t="n">
        <f aca="false">'Monthly by Country'!D21/'Monthly by Country'!D20-1</f>
        <v>0.00153733637075471</v>
      </c>
      <c r="E21" s="9" t="n">
        <f aca="false">'Monthly by Country'!E21/'Monthly by Country'!E20-1</f>
        <v>0.00280436122034522</v>
      </c>
      <c r="F21" s="9" t="n">
        <f aca="false">'Monthly by Country'!F21/'Monthly by Country'!F20-1</f>
        <v>-0.0144078097903306</v>
      </c>
      <c r="G21" s="9" t="n">
        <f aca="false">'Monthly by Country'!G21/'Monthly by Country'!G20-1</f>
        <v>-0.00231129149516651</v>
      </c>
      <c r="H21" s="9" t="n">
        <f aca="false">'Monthly by Country'!H21/'Monthly by Country'!H20-1</f>
        <v>-0.0141164428582852</v>
      </c>
    </row>
    <row r="22" customFormat="false" ht="15" hidden="false" customHeight="true" outlineLevel="0" collapsed="false">
      <c r="A22" s="7" t="n">
        <f aca="false">'Monthly by Country'!A22</f>
        <v>45444</v>
      </c>
      <c r="B22" s="9" t="n">
        <f aca="false">'Monthly by Country'!B22/'Monthly by Country'!B21-1</f>
        <v>0.0507998395179961</v>
      </c>
      <c r="C22" s="9" t="n">
        <f aca="false">'Monthly by Country'!C22/'Monthly by Country'!C21-1</f>
        <v>0.0443158942309991</v>
      </c>
      <c r="D22" s="9" t="n">
        <f aca="false">'Monthly by Country'!D22/'Monthly by Country'!D21-1</f>
        <v>0.0301639955192763</v>
      </c>
      <c r="E22" s="9" t="n">
        <f aca="false">'Monthly by Country'!E22/'Monthly by Country'!E21-1</f>
        <v>0.00607931877064583</v>
      </c>
      <c r="F22" s="9" t="n">
        <f aca="false">'Monthly by Country'!F22/'Monthly by Country'!F21-1</f>
        <v>-0.256033493738287</v>
      </c>
      <c r="G22" s="9" t="n">
        <f aca="false">'Monthly by Country'!G22/'Monthly by Country'!G21-1</f>
        <v>0.00669866051934109</v>
      </c>
      <c r="H22" s="9" t="n">
        <f aca="false">'Monthly by Country'!H22/'Monthly by Country'!H21-1</f>
        <v>0.00367335651595191</v>
      </c>
    </row>
    <row r="23" customFormat="false" ht="15" hidden="false" customHeight="true" outlineLevel="0" collapsed="false">
      <c r="A23" s="7" t="n">
        <f aca="false">'Monthly by Country'!A23</f>
        <v>45474</v>
      </c>
      <c r="B23" s="9" t="n">
        <f aca="false">'Monthly by Country'!B23/'Monthly by Country'!B22-1</f>
        <v>0.020622120297177</v>
      </c>
      <c r="C23" s="9" t="n">
        <f aca="false">'Monthly by Country'!C23/'Monthly by Country'!C22-1</f>
        <v>0.0612543295819585</v>
      </c>
      <c r="D23" s="9" t="n">
        <f aca="false">'Monthly by Country'!D23/'Monthly by Country'!D22-1</f>
        <v>0.0683766121742675</v>
      </c>
      <c r="E23" s="9" t="n">
        <f aca="false">'Monthly by Country'!E23/'Monthly by Country'!E22-1</f>
        <v>-0.0132735607448248</v>
      </c>
      <c r="F23" s="9" t="n">
        <f aca="false">'Monthly by Country'!F23/'Monthly by Country'!F22-1</f>
        <v>0.462504658321254</v>
      </c>
      <c r="G23" s="9" t="n">
        <f aca="false">'Monthly by Country'!G23/'Monthly by Country'!G22-1</f>
        <v>0.0761635785437371</v>
      </c>
      <c r="H23" s="9" t="n">
        <f aca="false">'Monthly by Country'!H23/'Monthly by Country'!H22-1</f>
        <v>0.0694090415795634</v>
      </c>
    </row>
    <row r="24" customFormat="false" ht="15" hidden="false" customHeight="true" outlineLevel="0" collapsed="false">
      <c r="A24" s="7" t="n">
        <f aca="false">'Monthly by Country'!A24</f>
        <v>45505</v>
      </c>
      <c r="B24" s="9" t="n">
        <f aca="false">'Monthly by Country'!B24/'Monthly by Country'!B23-1</f>
        <v>0.00956602865039069</v>
      </c>
      <c r="C24" s="9" t="n">
        <f aca="false">'Monthly by Country'!C24/'Monthly by Country'!C23-1</f>
        <v>-0.0138449483958399</v>
      </c>
      <c r="D24" s="9" t="n">
        <f aca="false">'Monthly by Country'!D24/'Monthly by Country'!D23-1</f>
        <v>-0.0340504329648251</v>
      </c>
      <c r="E24" s="9" t="n">
        <f aca="false">'Monthly by Country'!E24/'Monthly by Country'!E23-1</f>
        <v>0.0408030961117976</v>
      </c>
      <c r="F24" s="9" t="n">
        <f aca="false">'Monthly by Country'!F24/'Monthly by Country'!F23-1</f>
        <v>0.0454886652899291</v>
      </c>
      <c r="G24" s="9" t="n">
        <f aca="false">'Monthly by Country'!G24/'Monthly by Country'!G23-1</f>
        <v>-0.0296191435367602</v>
      </c>
      <c r="H24" s="9" t="n">
        <f aca="false">'Monthly by Country'!H24/'Monthly by Country'!H23-1</f>
        <v>-0.000188493263384992</v>
      </c>
    </row>
    <row r="25" customFormat="false" ht="15" hidden="false" customHeight="true" outlineLevel="0" collapsed="false">
      <c r="A25" s="7" t="n">
        <f aca="false">'Monthly by Country'!A25</f>
        <v>45536</v>
      </c>
      <c r="B25" s="9" t="n">
        <f aca="false">'Monthly by Country'!B25/'Monthly by Country'!B24-1</f>
        <v>0.0557364958677606</v>
      </c>
      <c r="C25" s="9" t="n">
        <f aca="false">'Monthly by Country'!C25/'Monthly by Country'!C24-1</f>
        <v>0.0166976921108972</v>
      </c>
      <c r="D25" s="9" t="n">
        <f aca="false">'Monthly by Country'!D25/'Monthly by Country'!D24-1</f>
        <v>0.0253566215819472</v>
      </c>
      <c r="E25" s="9" t="n">
        <f aca="false">'Monthly by Country'!E25/'Monthly by Country'!E24-1</f>
        <v>-0.0215092992676117</v>
      </c>
      <c r="F25" s="9" t="n">
        <f aca="false">'Monthly by Country'!F25/'Monthly by Country'!F24-1</f>
        <v>-0.0077425823622741</v>
      </c>
      <c r="G25" s="9" t="n">
        <f aca="false">'Monthly by Country'!G25/'Monthly by Country'!G24-1</f>
        <v>0.0408648326640575</v>
      </c>
      <c r="H25" s="9" t="n">
        <f aca="false">'Monthly by Country'!H25/'Monthly by Country'!H24-1</f>
        <v>0.0219861018256995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1"/>
  </cols>
  <sheetData>
    <row r="1" customFormat="false" ht="17.25" hidden="false" customHeight="true" outlineLevel="0" collapsed="false">
      <c r="A1" s="5" t="s">
        <v>15</v>
      </c>
    </row>
    <row r="2" customFormat="false" ht="15" hidden="false" customHeight="true" outlineLevel="0" collapsed="false">
      <c r="A2" s="6" t="s">
        <v>16</v>
      </c>
    </row>
    <row r="4" customFormat="false" ht="15" hidden="false" customHeight="true" outlineLevel="0" collapsed="false">
      <c r="A4" s="2" t="s">
        <v>11</v>
      </c>
      <c r="B4" s="2" t="s">
        <v>3</v>
      </c>
      <c r="C4" s="2" t="s">
        <v>6</v>
      </c>
      <c r="D4" s="2" t="s">
        <v>5</v>
      </c>
      <c r="E4" s="2" t="s">
        <v>4</v>
      </c>
      <c r="F4" s="2" t="s">
        <v>7</v>
      </c>
      <c r="G4" s="2" t="s">
        <v>8</v>
      </c>
      <c r="H4" s="2" t="s">
        <v>12</v>
      </c>
    </row>
    <row r="5" customFormat="false" ht="15" hidden="false" customHeight="true" outlineLevel="0" collapsed="false">
      <c r="A5" s="7" t="n">
        <f aca="false">'Monthly by Country'!A17</f>
        <v>45292</v>
      </c>
      <c r="B5" s="9" t="n">
        <f aca="false">'Monthly by Country'!B17/'Monthly by Country'!B5-1</f>
        <v>0.169153997889831</v>
      </c>
      <c r="C5" s="9" t="n">
        <f aca="false">'Monthly by Country'!C17/'Monthly by Country'!C5-1</f>
        <v>0.346648646927039</v>
      </c>
      <c r="D5" s="9" t="n">
        <f aca="false">'Monthly by Country'!D17/'Monthly by Country'!D5-1</f>
        <v>0.273207869719343</v>
      </c>
      <c r="E5" s="9" t="n">
        <f aca="false">'Monthly by Country'!E17/'Monthly by Country'!E5-1</f>
        <v>0.140456943702802</v>
      </c>
      <c r="F5" s="9" t="n">
        <f aca="false">'Monthly by Country'!F17/'Monthly by Country'!F5-1</f>
        <v>0.173548813101268</v>
      </c>
      <c r="G5" s="9" t="n">
        <f aca="false">'Monthly by Country'!G17/'Monthly by Country'!G5-1</f>
        <v>0.306849280721089</v>
      </c>
      <c r="H5" s="9" t="n">
        <f aca="false">'Monthly by Country'!H17/'Monthly by Country'!H5-1</f>
        <v>0.227451954813698</v>
      </c>
    </row>
    <row r="6" customFormat="false" ht="15" hidden="false" customHeight="true" outlineLevel="0" collapsed="false">
      <c r="A6" s="7" t="n">
        <f aca="false">'Monthly by Country'!A18</f>
        <v>45323</v>
      </c>
      <c r="B6" s="9" t="n">
        <f aca="false">'Monthly by Country'!B18/'Monthly by Country'!B6-1</f>
        <v>0.287418786531325</v>
      </c>
      <c r="C6" s="9" t="n">
        <f aca="false">'Monthly by Country'!C18/'Monthly by Country'!C6-1</f>
        <v>0.386501344981444</v>
      </c>
      <c r="D6" s="9" t="n">
        <f aca="false">'Monthly by Country'!D18/'Monthly by Country'!D6-1</f>
        <v>0.335412452219827</v>
      </c>
      <c r="E6" s="9" t="n">
        <f aca="false">'Monthly by Country'!E18/'Monthly by Country'!E6-1</f>
        <v>0.216112988164431</v>
      </c>
      <c r="F6" s="9" t="n">
        <f aca="false">'Monthly by Country'!F18/'Monthly by Country'!F6-1</f>
        <v>0.254638490262419</v>
      </c>
      <c r="G6" s="9" t="n">
        <f aca="false">'Monthly by Country'!G18/'Monthly by Country'!G6-1</f>
        <v>0.233666081821405</v>
      </c>
      <c r="H6" s="9" t="n">
        <f aca="false">'Monthly by Country'!H18/'Monthly by Country'!H6-1</f>
        <v>0.289440050943027</v>
      </c>
    </row>
    <row r="7" customFormat="false" ht="15" hidden="false" customHeight="true" outlineLevel="0" collapsed="false">
      <c r="A7" s="7" t="n">
        <f aca="false">'Monthly by Country'!A19</f>
        <v>45352</v>
      </c>
      <c r="B7" s="9" t="n">
        <f aca="false">'Monthly by Country'!B19/'Monthly by Country'!B7-1</f>
        <v>0.274683941390032</v>
      </c>
      <c r="C7" s="9" t="n">
        <f aca="false">'Monthly by Country'!C19/'Monthly by Country'!C7-1</f>
        <v>0.394004122581738</v>
      </c>
      <c r="D7" s="9" t="n">
        <f aca="false">'Monthly by Country'!D19/'Monthly by Country'!D7-1</f>
        <v>0.252392486670278</v>
      </c>
      <c r="E7" s="9" t="n">
        <f aca="false">'Monthly by Country'!E19/'Monthly by Country'!E7-1</f>
        <v>0.198715958961188</v>
      </c>
      <c r="F7" s="9" t="n">
        <f aca="false">'Monthly by Country'!F19/'Monthly by Country'!F7-1</f>
        <v>0.200671695787512</v>
      </c>
      <c r="G7" s="9" t="n">
        <f aca="false">'Monthly by Country'!G19/'Monthly by Country'!G7-1</f>
        <v>0.203057985792554</v>
      </c>
      <c r="H7" s="9" t="n">
        <f aca="false">'Monthly by Country'!H19/'Monthly by Country'!H7-1</f>
        <v>0.259044219519629</v>
      </c>
    </row>
    <row r="8" customFormat="false" ht="15" hidden="false" customHeight="true" outlineLevel="0" collapsed="false">
      <c r="A8" s="7" t="n">
        <f aca="false">'Monthly by Country'!A20</f>
        <v>45383</v>
      </c>
      <c r="B8" s="9" t="n">
        <f aca="false">'Monthly by Country'!B20/'Monthly by Country'!B8-1</f>
        <v>0.277214083220327</v>
      </c>
      <c r="C8" s="9" t="n">
        <f aca="false">'Monthly by Country'!C20/'Monthly by Country'!C8-1</f>
        <v>0.364565384456472</v>
      </c>
      <c r="D8" s="9" t="n">
        <f aca="false">'Monthly by Country'!D20/'Monthly by Country'!D8-1</f>
        <v>0.414967734530787</v>
      </c>
      <c r="E8" s="9" t="n">
        <f aca="false">'Monthly by Country'!E20/'Monthly by Country'!E8-1</f>
        <v>0.221992570485544</v>
      </c>
      <c r="F8" s="9" t="n">
        <f aca="false">'Monthly by Country'!F20/'Monthly by Country'!F8-1</f>
        <v>0.277514201312237</v>
      </c>
      <c r="G8" s="9" t="n">
        <f aca="false">'Monthly by Country'!G20/'Monthly by Country'!G8-1</f>
        <v>0.292544449893089</v>
      </c>
      <c r="H8" s="9" t="n">
        <f aca="false">'Monthly by Country'!H20/'Monthly by Country'!H8-1</f>
        <v>0.309051634963744</v>
      </c>
    </row>
    <row r="9" customFormat="false" ht="15" hidden="false" customHeight="true" outlineLevel="0" collapsed="false">
      <c r="A9" s="7" t="n">
        <f aca="false">'Monthly by Country'!A21</f>
        <v>45413</v>
      </c>
      <c r="B9" s="9" t="n">
        <f aca="false">'Monthly by Country'!B21/'Monthly by Country'!B9-1</f>
        <v>0.204039657301524</v>
      </c>
      <c r="C9" s="9" t="n">
        <f aca="false">'Monthly by Country'!C21/'Monthly by Country'!C9-1</f>
        <v>0.318407938077948</v>
      </c>
      <c r="D9" s="9" t="n">
        <f aca="false">'Monthly by Country'!D21/'Monthly by Country'!D9-1</f>
        <v>0.26134092107829</v>
      </c>
      <c r="E9" s="9" t="n">
        <f aca="false">'Monthly by Country'!E21/'Monthly by Country'!E9-1</f>
        <v>0.180204243824098</v>
      </c>
      <c r="F9" s="9" t="n">
        <f aca="false">'Monthly by Country'!F21/'Monthly by Country'!F9-1</f>
        <v>0.181561117843225</v>
      </c>
      <c r="G9" s="9" t="n">
        <f aca="false">'Monthly by Country'!G21/'Monthly by Country'!G9-1</f>
        <v>0.228077135036132</v>
      </c>
      <c r="H9" s="9" t="n">
        <f aca="false">'Monthly by Country'!H21/'Monthly by Country'!H9-1</f>
        <v>0.229913767964944</v>
      </c>
    </row>
    <row r="10" customFormat="false" ht="15" hidden="false" customHeight="true" outlineLevel="0" collapsed="false">
      <c r="A10" s="7" t="n">
        <f aca="false">'Monthly by Country'!A22</f>
        <v>45444</v>
      </c>
      <c r="B10" s="9" t="n">
        <f aca="false">'Monthly by Country'!B22/'Monthly by Country'!B10-1</f>
        <v>0.186347202939144</v>
      </c>
      <c r="C10" s="9" t="n">
        <f aca="false">'Monthly by Country'!C22/'Monthly by Country'!C10-1</f>
        <v>0.36054260366743</v>
      </c>
      <c r="D10" s="9" t="n">
        <f aca="false">'Monthly by Country'!D22/'Monthly by Country'!D10-1</f>
        <v>0.354652421970861</v>
      </c>
      <c r="E10" s="9" t="n">
        <f aca="false">'Monthly by Country'!E22/'Monthly by Country'!E10-1</f>
        <v>0.17518611080775</v>
      </c>
      <c r="F10" s="9" t="n">
        <f aca="false">'Monthly by Country'!F22/'Monthly by Country'!F10-1</f>
        <v>-0.114957504222581</v>
      </c>
      <c r="G10" s="9" t="n">
        <f aca="false">'Monthly by Country'!G22/'Monthly by Country'!G10-1</f>
        <v>0.161382237557383</v>
      </c>
      <c r="H10" s="9" t="n">
        <f aca="false">'Monthly by Country'!H22/'Monthly by Country'!H10-1</f>
        <v>0.211542579545879</v>
      </c>
    </row>
    <row r="11" customFormat="false" ht="15" hidden="false" customHeight="true" outlineLevel="0" collapsed="false">
      <c r="A11" s="7" t="n">
        <f aca="false">'Monthly by Country'!A23</f>
        <v>45474</v>
      </c>
      <c r="B11" s="9" t="n">
        <f aca="false">'Monthly by Country'!B23/'Monthly by Country'!B11-1</f>
        <v>0.244278042104594</v>
      </c>
      <c r="C11" s="9" t="n">
        <f aca="false">'Monthly by Country'!C23/'Monthly by Country'!C11-1</f>
        <v>0.378170751086032</v>
      </c>
      <c r="D11" s="9" t="n">
        <f aca="false">'Monthly by Country'!D23/'Monthly by Country'!D11-1</f>
        <v>0.389510392833715</v>
      </c>
      <c r="E11" s="9" t="n">
        <f aca="false">'Monthly by Country'!E23/'Monthly by Country'!E11-1</f>
        <v>0.162692221073603</v>
      </c>
      <c r="F11" s="9" t="n">
        <f aca="false">'Monthly by Country'!F23/'Monthly by Country'!F11-1</f>
        <v>0.229851111727109</v>
      </c>
      <c r="G11" s="9" t="n">
        <f aca="false">'Monthly by Country'!G23/'Monthly by Country'!G11-1</f>
        <v>0.27285471631095</v>
      </c>
      <c r="H11" s="9" t="n">
        <f aca="false">'Monthly by Country'!H23/'Monthly by Country'!H11-1</f>
        <v>0.282011476759979</v>
      </c>
    </row>
    <row r="12" customFormat="false" ht="15" hidden="false" customHeight="true" outlineLevel="0" collapsed="false">
      <c r="A12" s="7" t="n">
        <f aca="false">'Monthly by Country'!A24</f>
        <v>45505</v>
      </c>
      <c r="B12" s="9" t="n">
        <f aca="false">'Monthly by Country'!B24/'Monthly by Country'!B12-1</f>
        <v>0.233066286151402</v>
      </c>
      <c r="C12" s="9" t="n">
        <f aca="false">'Monthly by Country'!C24/'Monthly by Country'!C12-1</f>
        <v>0.319161001382582</v>
      </c>
      <c r="D12" s="9" t="n">
        <f aca="false">'Monthly by Country'!D24/'Monthly by Country'!D12-1</f>
        <v>0.318444655486227</v>
      </c>
      <c r="E12" s="9" t="n">
        <f aca="false">'Monthly by Country'!E24/'Monthly by Country'!E12-1</f>
        <v>0.210694255405175</v>
      </c>
      <c r="F12" s="9" t="n">
        <f aca="false">'Monthly by Country'!F24/'Monthly by Country'!F12-1</f>
        <v>0.303087195493414</v>
      </c>
      <c r="G12" s="9" t="n">
        <f aca="false">'Monthly by Country'!G24/'Monthly by Country'!G12-1</f>
        <v>0.19124537253058</v>
      </c>
      <c r="H12" s="9" t="n">
        <f aca="false">'Monthly by Country'!H24/'Monthly by Country'!H12-1</f>
        <v>0.261375348768069</v>
      </c>
    </row>
    <row r="13" customFormat="false" ht="15" hidden="false" customHeight="true" outlineLevel="0" collapsed="false">
      <c r="A13" s="7" t="n">
        <f aca="false">'Monthly by Country'!A25</f>
        <v>45536</v>
      </c>
      <c r="B13" s="9" t="n">
        <f aca="false">'Monthly by Country'!B25/'Monthly by Country'!B13-1</f>
        <v>0.326851227757813</v>
      </c>
      <c r="C13" s="9" t="n">
        <f aca="false">'Monthly by Country'!C25/'Monthly by Country'!C13-1</f>
        <v>0.292325001781059</v>
      </c>
      <c r="D13" s="9" t="n">
        <f aca="false">'Monthly by Country'!D25/'Monthly by Country'!D13-1</f>
        <v>0.268290813127834</v>
      </c>
      <c r="E13" s="9" t="n">
        <f aca="false">'Monthly by Country'!E25/'Monthly by Country'!E13-1</f>
        <v>0.167792940031305</v>
      </c>
      <c r="F13" s="9" t="n">
        <f aca="false">'Monthly by Country'!F25/'Monthly by Country'!F13-1</f>
        <v>0.273244467110586</v>
      </c>
      <c r="G13" s="9" t="n">
        <f aca="false">'Monthly by Country'!G25/'Monthly by Country'!G13-1</f>
        <v>0.260624003028091</v>
      </c>
      <c r="H13" s="9" t="n">
        <f aca="false">'Monthly by Country'!H25/'Monthly by Country'!H13-1</f>
        <v>0.268378729045826</v>
      </c>
    </row>
    <row r="15" customFormat="false" ht="15" hidden="false" customHeight="true" outlineLevel="0" collapsed="false">
      <c r="A15" s="10" t="s">
        <v>17</v>
      </c>
      <c r="B15" s="11" t="n">
        <f aca="false">AVERAGE(B11:B13)</f>
        <v>0.268065185337937</v>
      </c>
      <c r="C15" s="11" t="n">
        <f aca="false">AVERAGE(C11:C13)</f>
        <v>0.329885584749891</v>
      </c>
      <c r="D15" s="11" t="n">
        <f aca="false">AVERAGE(D11:D13)</f>
        <v>0.325415287149259</v>
      </c>
      <c r="E15" s="11" t="n">
        <f aca="false">AVERAGE(E11:E13)</f>
        <v>0.180393138836694</v>
      </c>
      <c r="F15" s="11" t="n">
        <f aca="false">AVERAGE(F11:F13)</f>
        <v>0.268727591443703</v>
      </c>
      <c r="G15" s="11" t="n">
        <f aca="false">AVERAGE(G11:G13)</f>
        <v>0.241574697289874</v>
      </c>
      <c r="H15" s="11" t="n">
        <f aca="false">AVERAGE(H11:H13)</f>
        <v>0.270588518191291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1"/>
  </cols>
  <sheetData>
    <row r="1" customFormat="false" ht="17.25" hidden="false" customHeight="true" outlineLevel="0" collapsed="false">
      <c r="A1" s="5" t="s">
        <v>18</v>
      </c>
    </row>
    <row r="2" customFormat="false" ht="15" hidden="false" customHeight="true" outlineLevel="0" collapsed="false">
      <c r="A2" s="6" t="s">
        <v>19</v>
      </c>
    </row>
    <row r="4" customFormat="false" ht="15" hidden="false" customHeight="true" outlineLevel="0" collapsed="false">
      <c r="A4" s="2" t="s">
        <v>20</v>
      </c>
      <c r="B4" s="2" t="s">
        <v>3</v>
      </c>
      <c r="C4" s="2" t="s">
        <v>6</v>
      </c>
      <c r="D4" s="2" t="s">
        <v>5</v>
      </c>
      <c r="E4" s="2" t="s">
        <v>4</v>
      </c>
      <c r="F4" s="2" t="s">
        <v>7</v>
      </c>
      <c r="G4" s="2" t="s">
        <v>8</v>
      </c>
      <c r="H4" s="2" t="s">
        <v>12</v>
      </c>
    </row>
    <row r="5" customFormat="false" ht="15" hidden="false" customHeight="true" outlineLevel="0" collapsed="false">
      <c r="A5" s="12" t="s">
        <v>21</v>
      </c>
      <c r="B5" s="8" t="n">
        <f aca="false">SUM('Monthly by Country'!B5:B13)</f>
        <v>1729554.79</v>
      </c>
      <c r="C5" s="8" t="n">
        <f aca="false">SUM('Monthly by Country'!C5:C13)</f>
        <v>1113173.08</v>
      </c>
      <c r="D5" s="8" t="n">
        <f aca="false">SUM('Monthly by Country'!D5:D13)</f>
        <v>1369960.48</v>
      </c>
      <c r="E5" s="8" t="n">
        <f aca="false">SUM('Monthly by Country'!E5:E13)</f>
        <v>1249337.1</v>
      </c>
      <c r="F5" s="8" t="n">
        <f aca="false">SUM('Monthly by Country'!F5:F13)</f>
        <v>681970.41</v>
      </c>
      <c r="G5" s="8" t="n">
        <f aca="false">SUM('Monthly by Country'!G5:G13)</f>
        <v>874154.68</v>
      </c>
      <c r="H5" s="8" t="n">
        <f aca="false">SUM('Monthly by Country'!H5:H13)</f>
        <v>7018150.54</v>
      </c>
    </row>
    <row r="6" customFormat="false" ht="15" hidden="false" customHeight="true" outlineLevel="0" collapsed="false">
      <c r="A6" s="12" t="s">
        <v>22</v>
      </c>
      <c r="B6" s="8" t="n">
        <f aca="false">SUM('Monthly by Country'!B17:B25)</f>
        <v>2151776.59</v>
      </c>
      <c r="C6" s="8" t="n">
        <f aca="false">SUM('Monthly by Country'!C17:C25)</f>
        <v>1502091.31</v>
      </c>
      <c r="D6" s="8" t="n">
        <f aca="false">SUM('Monthly by Country'!D17:D25)</f>
        <v>1805641.38</v>
      </c>
      <c r="E6" s="8" t="n">
        <f aca="false">SUM('Monthly by Country'!E17:E25)</f>
        <v>1480982.54</v>
      </c>
      <c r="F6" s="8" t="n">
        <f aca="false">SUM('Monthly by Country'!F17:F25)</f>
        <v>816682.73</v>
      </c>
      <c r="G6" s="8" t="n">
        <f aca="false">SUM('Monthly by Country'!G17:G25)</f>
        <v>1081601.73</v>
      </c>
      <c r="H6" s="8" t="n">
        <f aca="false">SUM('Monthly by Country'!H17:H25)</f>
        <v>8838776.28</v>
      </c>
    </row>
    <row r="7" customFormat="false" ht="15" hidden="false" customHeight="true" outlineLevel="0" collapsed="false">
      <c r="A7" s="13" t="s">
        <v>23</v>
      </c>
      <c r="B7" s="14" t="n">
        <f aca="false">B6/B5-1</f>
        <v>0.244121667865752</v>
      </c>
      <c r="C7" s="14" t="n">
        <f aca="false">C6/C5-1</f>
        <v>0.349378041014071</v>
      </c>
      <c r="D7" s="14" t="n">
        <f aca="false">D6/D5-1</f>
        <v>0.318024429434636</v>
      </c>
      <c r="E7" s="14" t="n">
        <f aca="false">E6/E5-1</f>
        <v>0.185414681113688</v>
      </c>
      <c r="F7" s="14" t="n">
        <f aca="false">F6/F5-1</f>
        <v>0.197533966319741</v>
      </c>
      <c r="G7" s="14" t="n">
        <f aca="false">G6/G5-1</f>
        <v>0.237311604852359</v>
      </c>
      <c r="H7" s="14" t="n">
        <f aca="false">H6/H5-1</f>
        <v>0.259416740866889</v>
      </c>
    </row>
    <row r="10" customFormat="false" ht="15" hidden="false" customHeight="true" outlineLevel="0" collapsed="false">
      <c r="A10" s="10" t="s">
        <v>24</v>
      </c>
    </row>
    <row r="11" customFormat="false" ht="30" hidden="false" customHeight="true" outlineLevel="0" collapsed="false">
      <c r="A11" s="15" t="s">
        <v>25</v>
      </c>
      <c r="B11" s="15"/>
      <c r="C11" s="15"/>
      <c r="D11" s="15"/>
      <c r="E11" s="15"/>
      <c r="F11" s="15"/>
      <c r="G11" s="15"/>
      <c r="H11" s="15"/>
    </row>
    <row r="12" customFormat="false" ht="30" hidden="false" customHeight="true" outlineLevel="0" collapsed="false">
      <c r="A12" s="15" t="s">
        <v>26</v>
      </c>
      <c r="B12" s="15"/>
      <c r="C12" s="15"/>
      <c r="D12" s="15"/>
      <c r="E12" s="15"/>
      <c r="F12" s="15"/>
      <c r="G12" s="15"/>
      <c r="H12" s="15"/>
    </row>
  </sheetData>
  <mergeCells count="2"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2"/>
    <col collapsed="false" customWidth="true" hidden="false" outlineLevel="0" max="8" min="8" style="1" width="13"/>
  </cols>
  <sheetData>
    <row r="1" customFormat="false" ht="17.25" hidden="false" customHeight="true" outlineLevel="0" collapsed="false">
      <c r="A1" s="5" t="s">
        <v>27</v>
      </c>
    </row>
    <row r="2" customFormat="false" ht="15" hidden="false" customHeight="true" outlineLevel="0" collapsed="false">
      <c r="A2" s="6" t="s">
        <v>28</v>
      </c>
    </row>
    <row r="4" customFormat="false" ht="15" hidden="false" customHeight="true" outlineLevel="0" collapsed="false">
      <c r="A4" s="10" t="s">
        <v>29</v>
      </c>
    </row>
    <row r="6" customFormat="false" ht="15" hidden="false" customHeight="true" outlineLevel="0" collapsed="false">
      <c r="A6" s="2"/>
      <c r="B6" s="2" t="s">
        <v>3</v>
      </c>
      <c r="C6" s="2" t="s">
        <v>6</v>
      </c>
      <c r="D6" s="2" t="s">
        <v>5</v>
      </c>
      <c r="E6" s="2" t="s">
        <v>4</v>
      </c>
      <c r="F6" s="2" t="s">
        <v>7</v>
      </c>
      <c r="G6" s="2" t="s">
        <v>8</v>
      </c>
      <c r="H6" s="2" t="s">
        <v>12</v>
      </c>
    </row>
    <row r="7" customFormat="false" ht="15" hidden="false" customHeight="true" outlineLevel="0" collapsed="false">
      <c r="A7" s="12" t="s">
        <v>30</v>
      </c>
      <c r="B7" s="16" t="n">
        <f aca="false">'YoY Change'!B15</f>
        <v>0.268065185337937</v>
      </c>
      <c r="C7" s="16" t="n">
        <f aca="false">'YoY Change'!C15</f>
        <v>0.329885584749891</v>
      </c>
      <c r="D7" s="16" t="n">
        <f aca="false">'YoY Change'!D15</f>
        <v>0.325415287149259</v>
      </c>
      <c r="E7" s="16" t="n">
        <f aca="false">'YoY Change'!E15</f>
        <v>0.180393138836694</v>
      </c>
      <c r="F7" s="16" t="n">
        <f aca="false">'YoY Change'!F15</f>
        <v>0.268727591443703</v>
      </c>
      <c r="G7" s="16" t="n">
        <f aca="false">'YoY Change'!G15</f>
        <v>0.241574697289874</v>
      </c>
      <c r="H7" s="16" t="n">
        <f aca="false">'YoY Change'!H15</f>
        <v>0.270588518191291</v>
      </c>
    </row>
    <row r="10" customFormat="false" ht="15" hidden="false" customHeight="true" outlineLevel="0" collapsed="false">
      <c r="A10" s="10" t="s">
        <v>31</v>
      </c>
    </row>
    <row r="12" customFormat="false" ht="15" hidden="false" customHeight="true" outlineLevel="0" collapsed="false">
      <c r="A12" s="2" t="s">
        <v>11</v>
      </c>
      <c r="B12" s="2" t="s">
        <v>3</v>
      </c>
      <c r="C12" s="2" t="s">
        <v>6</v>
      </c>
      <c r="D12" s="2" t="s">
        <v>5</v>
      </c>
      <c r="E12" s="2" t="s">
        <v>4</v>
      </c>
      <c r="F12" s="2" t="s">
        <v>7</v>
      </c>
      <c r="G12" s="2" t="s">
        <v>8</v>
      </c>
      <c r="H12" s="2" t="s">
        <v>12</v>
      </c>
    </row>
    <row r="13" customFormat="false" ht="15" hidden="false" customHeight="true" outlineLevel="0" collapsed="false">
      <c r="A13" s="12" t="s">
        <v>32</v>
      </c>
      <c r="B13" s="8" t="n">
        <f aca="false">'Monthly by Country'!B14*(1+B$7)</f>
        <v>269552.984186189</v>
      </c>
      <c r="C13" s="8" t="n">
        <f aca="false">'Monthly by Country'!C14*(1+C$7)</f>
        <v>198642.48301148</v>
      </c>
      <c r="D13" s="8" t="n">
        <f aca="false">'Monthly by Country'!D14*(1+D$7)</f>
        <v>231716.337266901</v>
      </c>
      <c r="E13" s="8" t="n">
        <f aca="false">'Monthly by Country'!E14*(1+E$7)</f>
        <v>179508.888589091</v>
      </c>
      <c r="F13" s="8" t="n">
        <f aca="false">'Monthly by Country'!F14*(1+F$7)</f>
        <v>105653.417050234</v>
      </c>
      <c r="G13" s="8" t="n">
        <f aca="false">'Monthly by Country'!G14*(1+G$7)</f>
        <v>125398.21257123</v>
      </c>
      <c r="H13" s="8" t="n">
        <f aca="false">SUM(B13:G13)</f>
        <v>1110472.32267513</v>
      </c>
    </row>
    <row r="14" customFormat="false" ht="15" hidden="false" customHeight="true" outlineLevel="0" collapsed="false">
      <c r="A14" s="12" t="s">
        <v>33</v>
      </c>
      <c r="B14" s="8" t="n">
        <f aca="false">'Monthly by Country'!B15*(1+B$7)</f>
        <v>295099.577577829</v>
      </c>
      <c r="C14" s="8" t="n">
        <f aca="false">'Monthly by Country'!C15*(1+C$7)</f>
        <v>207450.873791224</v>
      </c>
      <c r="D14" s="8" t="n">
        <f aca="false">'Monthly by Country'!D15*(1+D$7)</f>
        <v>257782.139862119</v>
      </c>
      <c r="E14" s="8" t="n">
        <f aca="false">'Monthly by Country'!E15*(1+E$7)</f>
        <v>197063.034329713</v>
      </c>
      <c r="F14" s="8" t="n">
        <f aca="false">'Monthly by Country'!F15*(1+F$7)</f>
        <v>121267.355710785</v>
      </c>
      <c r="G14" s="8" t="n">
        <f aca="false">'Monthly by Country'!G15*(1+G$7)</f>
        <v>153249.849383932</v>
      </c>
      <c r="H14" s="8" t="n">
        <f aca="false">SUM(B14:G14)</f>
        <v>1231912.8306556</v>
      </c>
    </row>
    <row r="15" customFormat="false" ht="15" hidden="false" customHeight="true" outlineLevel="0" collapsed="false">
      <c r="A15" s="12" t="s">
        <v>34</v>
      </c>
      <c r="B15" s="8" t="n">
        <f aca="false">'Monthly by Country'!B16*(1+B$7)</f>
        <v>309317.365368223</v>
      </c>
      <c r="C15" s="8" t="n">
        <f aca="false">'Monthly by Country'!C16*(1+C$7)</f>
        <v>223044.792985461</v>
      </c>
      <c r="D15" s="8" t="n">
        <f aca="false">'Monthly by Country'!D16*(1+D$7)</f>
        <v>273943.0212374</v>
      </c>
      <c r="E15" s="8" t="n">
        <f aca="false">'Monthly by Country'!E16*(1+E$7)</f>
        <v>196118.719818643</v>
      </c>
      <c r="F15" s="8" t="n">
        <f aca="false">'Monthly by Country'!F16*(1+F$7)</f>
        <v>124524.116001642</v>
      </c>
      <c r="G15" s="8" t="n">
        <f aca="false">'Monthly by Country'!G16*(1+G$7)</f>
        <v>153210.727365221</v>
      </c>
      <c r="H15" s="8" t="n">
        <f aca="false">SUM(B15:G15)</f>
        <v>1280158.74277659</v>
      </c>
    </row>
    <row r="16" customFormat="false" ht="15" hidden="false" customHeight="true" outlineLevel="0" collapsed="false">
      <c r="A16" s="13" t="s">
        <v>35</v>
      </c>
      <c r="B16" s="17" t="n">
        <f aca="false">SUM(B13:B15)</f>
        <v>873969.927132242</v>
      </c>
      <c r="C16" s="17" t="n">
        <f aca="false">SUM(C13:C15)</f>
        <v>629138.149788166</v>
      </c>
      <c r="D16" s="17" t="n">
        <f aca="false">SUM(D13:D15)</f>
        <v>763441.49836642</v>
      </c>
      <c r="E16" s="17" t="n">
        <f aca="false">SUM(E13:E15)</f>
        <v>572690.642737447</v>
      </c>
      <c r="F16" s="17" t="n">
        <f aca="false">SUM(F13:F15)</f>
        <v>351444.88876266</v>
      </c>
      <c r="G16" s="17" t="n">
        <f aca="false">SUM(G13:G15)</f>
        <v>431858.789320383</v>
      </c>
      <c r="H16" s="17" t="n">
        <f aca="false">SUM(H13:H15)</f>
        <v>3622543.89610732</v>
      </c>
    </row>
    <row r="19" customFormat="false" ht="15" hidden="false" customHeight="true" outlineLevel="0" collapsed="false">
      <c r="A19" s="10" t="s">
        <v>36</v>
      </c>
    </row>
    <row r="21" customFormat="false" ht="15" hidden="false" customHeight="true" outlineLevel="0" collapsed="false">
      <c r="A21" s="2"/>
      <c r="B21" s="2" t="s">
        <v>3</v>
      </c>
      <c r="C21" s="2" t="s">
        <v>6</v>
      </c>
      <c r="D21" s="2" t="s">
        <v>5</v>
      </c>
      <c r="E21" s="2" t="s">
        <v>4</v>
      </c>
      <c r="F21" s="2" t="s">
        <v>7</v>
      </c>
      <c r="G21" s="2" t="s">
        <v>8</v>
      </c>
      <c r="H21" s="2" t="s">
        <v>12</v>
      </c>
    </row>
    <row r="22" customFormat="false" ht="15" hidden="false" customHeight="true" outlineLevel="0" collapsed="false">
      <c r="A22" s="12" t="s">
        <v>37</v>
      </c>
      <c r="B22" s="8" t="n">
        <f aca="false">SUM('Monthly by Country'!B5:B16)</f>
        <v>2418770.09</v>
      </c>
      <c r="C22" s="8" t="n">
        <f aca="false">SUM('Monthly by Country'!C5:C16)</f>
        <v>1586249.98</v>
      </c>
      <c r="D22" s="8" t="n">
        <f aca="false">SUM('Monthly by Country'!D5:D16)</f>
        <v>1945962.21</v>
      </c>
      <c r="E22" s="8" t="n">
        <f aca="false">SUM('Monthly by Country'!E5:E16)</f>
        <v>1734506.51</v>
      </c>
      <c r="F22" s="8" t="n">
        <f aca="false">SUM('Monthly by Country'!F5:F16)</f>
        <v>958976.2</v>
      </c>
      <c r="G22" s="8" t="n">
        <f aca="false">SUM('Monthly by Country'!G5:G16)</f>
        <v>1221986.18</v>
      </c>
      <c r="H22" s="8" t="n">
        <f aca="false">SUM('Monthly by Country'!H5:H16)</f>
        <v>9866451.17</v>
      </c>
    </row>
    <row r="23" customFormat="false" ht="15" hidden="false" customHeight="true" outlineLevel="0" collapsed="false">
      <c r="A23" s="12" t="s">
        <v>38</v>
      </c>
      <c r="B23" s="8" t="n">
        <f aca="false">SUM('Monthly by Country'!B17:B25)+B16</f>
        <v>3025746.51713224</v>
      </c>
      <c r="C23" s="8" t="n">
        <f aca="false">SUM('Monthly by Country'!C17:C25)+C16</f>
        <v>2131229.45978817</v>
      </c>
      <c r="D23" s="8" t="n">
        <f aca="false">SUM('Monthly by Country'!D17:D25)+D16</f>
        <v>2569082.87836642</v>
      </c>
      <c r="E23" s="8" t="n">
        <f aca="false">SUM('Monthly by Country'!E17:E25)+E16</f>
        <v>2053673.18273745</v>
      </c>
      <c r="F23" s="8" t="n">
        <f aca="false">SUM('Monthly by Country'!F17:F25)+F16</f>
        <v>1168127.61876266</v>
      </c>
      <c r="G23" s="8" t="n">
        <f aca="false">SUM('Monthly by Country'!G17:G25)+G16</f>
        <v>1513460.51932038</v>
      </c>
      <c r="H23" s="8" t="n">
        <f aca="false">SUM('Monthly by Country'!H17:H25)+H16</f>
        <v>12461320.1761073</v>
      </c>
    </row>
    <row r="24" customFormat="false" ht="15" hidden="false" customHeight="true" outlineLevel="0" collapsed="false">
      <c r="A24" s="13" t="s">
        <v>39</v>
      </c>
      <c r="B24" s="14" t="n">
        <f aca="false">B23/B22-1</f>
        <v>0.250944242134332</v>
      </c>
      <c r="C24" s="14" t="n">
        <f aca="false">C23/C22-1</f>
        <v>0.343564688201393</v>
      </c>
      <c r="D24" s="14" t="n">
        <f aca="false">D23/D22-1</f>
        <v>0.320212111604377</v>
      </c>
      <c r="E24" s="14" t="n">
        <f aca="false">E23/E22-1</f>
        <v>0.184010074852615</v>
      </c>
      <c r="F24" s="14" t="n">
        <f aca="false">F23/F22-1</f>
        <v>0.218098654338512</v>
      </c>
      <c r="G24" s="14" t="n">
        <f aca="false">G23/G22-1</f>
        <v>0.23852507016109</v>
      </c>
      <c r="H24" s="14" t="n">
        <f aca="false">H23/H22-1</f>
        <v>0.26299922448279</v>
      </c>
    </row>
    <row r="27" customFormat="false" ht="15" hidden="false" customHeight="true" outlineLevel="0" collapsed="false">
      <c r="A27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2026-07-14T19:40:11Z</dcterms:created>
  <dc:creator>openpyxl</dc:creator>
  <dc:description/>
  <dc:language>en-US</dc:language>
  <cp:lastModifiedBy/>
  <dcterms:modified xsi:type="dcterms:W3CDTF">2026-07-14T19:41:44Z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